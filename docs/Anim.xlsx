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SDEV\dis\Bub2Dis\docs\"/>
    </mc:Choice>
  </mc:AlternateContent>
  <bookViews>
    <workbookView xWindow="0" yWindow="0" windowWidth="28800" windowHeight="12210"/>
  </bookViews>
  <sheets>
    <sheet name="Anim" sheetId="1" r:id="rId1"/>
    <sheet name="Im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62" i="2" l="1"/>
  <c r="H565" i="2"/>
  <c r="H564" i="2"/>
  <c r="H563" i="2"/>
  <c r="H561" i="2"/>
  <c r="H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C556" i="2" l="1"/>
  <c r="H556" i="2" s="1"/>
  <c r="C552" i="2"/>
  <c r="H552" i="2" s="1"/>
  <c r="C551" i="2"/>
  <c r="H551" i="2" s="1"/>
  <c r="C550" i="2"/>
  <c r="H550" i="2" s="1"/>
  <c r="C549" i="2"/>
  <c r="H549" i="2" s="1"/>
  <c r="C548" i="2"/>
  <c r="H548" i="2" s="1"/>
  <c r="C544" i="2"/>
  <c r="H544" i="2" s="1"/>
  <c r="C540" i="2"/>
  <c r="H540" i="2" s="1"/>
  <c r="C536" i="2"/>
  <c r="H536" i="2" s="1"/>
  <c r="C532" i="2"/>
  <c r="H532" i="2" s="1"/>
  <c r="C530" i="2"/>
  <c r="H530" i="2" s="1"/>
  <c r="C528" i="2"/>
  <c r="H528" i="2" s="1"/>
  <c r="C524" i="2"/>
  <c r="H524" i="2" s="1"/>
  <c r="C520" i="2"/>
  <c r="H520" i="2" s="1"/>
  <c r="C516" i="2"/>
  <c r="H516" i="2" s="1"/>
  <c r="C512" i="2"/>
  <c r="H512" i="2" s="1"/>
  <c r="C509" i="2"/>
  <c r="H509" i="2" s="1"/>
  <c r="C508" i="2"/>
  <c r="H508" i="2" s="1"/>
  <c r="C504" i="2"/>
  <c r="H504" i="2" s="1"/>
  <c r="C502" i="2"/>
  <c r="H502" i="2" s="1"/>
  <c r="C500" i="2"/>
  <c r="H500" i="2" s="1"/>
  <c r="C496" i="2"/>
  <c r="H496" i="2" s="1"/>
  <c r="C492" i="2"/>
  <c r="H492" i="2" s="1"/>
  <c r="C488" i="2"/>
  <c r="H488" i="2" s="1"/>
  <c r="C487" i="2"/>
  <c r="H487" i="2" s="1"/>
  <c r="C486" i="2"/>
  <c r="H486" i="2" s="1"/>
  <c r="C485" i="2"/>
  <c r="H485" i="2" s="1"/>
  <c r="C484" i="2"/>
  <c r="H484" i="2" s="1"/>
  <c r="C480" i="2"/>
  <c r="H480" i="2" s="1"/>
  <c r="C476" i="2"/>
  <c r="H476" i="2" s="1"/>
  <c r="C472" i="2"/>
  <c r="H472" i="2" s="1"/>
  <c r="C468" i="2"/>
  <c r="H468" i="2" s="1"/>
  <c r="C466" i="2"/>
  <c r="H466" i="2" s="1"/>
  <c r="C464" i="2"/>
  <c r="H464" i="2" s="1"/>
  <c r="C463" i="2"/>
  <c r="H463" i="2" s="1"/>
  <c r="C460" i="2"/>
  <c r="H460" i="2" s="1"/>
  <c r="C456" i="2"/>
  <c r="H456" i="2" s="1"/>
  <c r="C455" i="2"/>
  <c r="H455" i="2" s="1"/>
  <c r="C452" i="2"/>
  <c r="H452" i="2" s="1"/>
  <c r="C448" i="2"/>
  <c r="H448" i="2" s="1"/>
  <c r="C445" i="2"/>
  <c r="H445" i="2" s="1"/>
  <c r="C444" i="2"/>
  <c r="H444" i="2" s="1"/>
  <c r="C440" i="2"/>
  <c r="H440" i="2" s="1"/>
  <c r="C438" i="2"/>
  <c r="H438" i="2" s="1"/>
  <c r="C436" i="2"/>
  <c r="H436" i="2" s="1"/>
  <c r="C434" i="2"/>
  <c r="H434" i="2" s="1"/>
  <c r="C432" i="2"/>
  <c r="H432" i="2" s="1"/>
  <c r="C428" i="2"/>
  <c r="H428" i="2" s="1"/>
  <c r="C424" i="2"/>
  <c r="H424" i="2" s="1"/>
  <c r="C423" i="2"/>
  <c r="H423" i="2" s="1"/>
  <c r="C422" i="2"/>
  <c r="H422" i="2" s="1"/>
  <c r="C421" i="2"/>
  <c r="H421" i="2" s="1"/>
  <c r="C420" i="2"/>
  <c r="H420" i="2" s="1"/>
  <c r="C416" i="2"/>
  <c r="H416" i="2" s="1"/>
  <c r="C412" i="2"/>
  <c r="H412" i="2" s="1"/>
  <c r="C410" i="2"/>
  <c r="H410" i="2" s="1"/>
  <c r="C408" i="2"/>
  <c r="H408" i="2" s="1"/>
  <c r="C406" i="2"/>
  <c r="H406" i="2" s="1"/>
  <c r="C404" i="2"/>
  <c r="H404" i="2" s="1"/>
  <c r="C402" i="2"/>
  <c r="H402" i="2" s="1"/>
  <c r="C400" i="2"/>
  <c r="H400" i="2" s="1"/>
  <c r="C398" i="2"/>
  <c r="H398" i="2" s="1"/>
  <c r="C397" i="2"/>
  <c r="H397" i="2" s="1"/>
  <c r="C396" i="2"/>
  <c r="H396" i="2" s="1"/>
  <c r="C394" i="2"/>
  <c r="H394" i="2" s="1"/>
  <c r="C392" i="2"/>
  <c r="H392" i="2" s="1"/>
  <c r="C391" i="2"/>
  <c r="H391" i="2" s="1"/>
  <c r="C390" i="2"/>
  <c r="H390" i="2" s="1"/>
  <c r="C388" i="2"/>
  <c r="H388" i="2" s="1"/>
  <c r="C386" i="2"/>
  <c r="H386" i="2" s="1"/>
  <c r="C384" i="2"/>
  <c r="H384" i="2" s="1"/>
  <c r="C382" i="2"/>
  <c r="H382" i="2" s="1"/>
  <c r="C380" i="2"/>
  <c r="H380" i="2" s="1"/>
  <c r="C378" i="2"/>
  <c r="H378" i="2" s="1"/>
  <c r="C376" i="2"/>
  <c r="H376" i="2" s="1"/>
  <c r="C374" i="2"/>
  <c r="H374" i="2" s="1"/>
  <c r="C372" i="2"/>
  <c r="H372" i="2" s="1"/>
  <c r="C370" i="2"/>
  <c r="H370" i="2" s="1"/>
  <c r="C368" i="2"/>
  <c r="H368" i="2" s="1"/>
  <c r="C366" i="2"/>
  <c r="H366" i="2" s="1"/>
  <c r="C365" i="2"/>
  <c r="H365" i="2" s="1"/>
  <c r="C364" i="2"/>
  <c r="H364" i="2" s="1"/>
  <c r="C362" i="2"/>
  <c r="H362" i="2" s="1"/>
  <c r="C360" i="2"/>
  <c r="H360" i="2" s="1"/>
  <c r="C359" i="2"/>
  <c r="H359" i="2" s="1"/>
  <c r="C358" i="2"/>
  <c r="H358" i="2" s="1"/>
  <c r="C356" i="2"/>
  <c r="H356" i="2" s="1"/>
  <c r="C354" i="2"/>
  <c r="H354" i="2" s="1"/>
  <c r="C352" i="2"/>
  <c r="H352" i="2" s="1"/>
  <c r="C350" i="2"/>
  <c r="H350" i="2" s="1"/>
  <c r="C348" i="2"/>
  <c r="H348" i="2" s="1"/>
  <c r="C346" i="2"/>
  <c r="H346" i="2" s="1"/>
  <c r="C344" i="2"/>
  <c r="H344" i="2" s="1"/>
  <c r="C342" i="2"/>
  <c r="H342" i="2" s="1"/>
  <c r="C340" i="2"/>
  <c r="H340" i="2" s="1"/>
  <c r="C338" i="2"/>
  <c r="H338" i="2" s="1"/>
  <c r="C336" i="2"/>
  <c r="H336" i="2" s="1"/>
  <c r="C334" i="2"/>
  <c r="H334" i="2" s="1"/>
  <c r="C333" i="2"/>
  <c r="H333" i="2" s="1"/>
  <c r="C332" i="2"/>
  <c r="H332" i="2" s="1"/>
  <c r="C330" i="2"/>
  <c r="H330" i="2" s="1"/>
  <c r="C328" i="2"/>
  <c r="H328" i="2" s="1"/>
  <c r="C327" i="2"/>
  <c r="H327" i="2" s="1"/>
  <c r="C326" i="2"/>
  <c r="H326" i="2" s="1"/>
  <c r="C324" i="2"/>
  <c r="H324" i="2" s="1"/>
  <c r="C322" i="2"/>
  <c r="H322" i="2" s="1"/>
  <c r="C320" i="2"/>
  <c r="H320" i="2" s="1"/>
  <c r="C318" i="2"/>
  <c r="H318" i="2" s="1"/>
  <c r="C316" i="2"/>
  <c r="H316" i="2" s="1"/>
  <c r="C314" i="2"/>
  <c r="H314" i="2" s="1"/>
  <c r="C312" i="2"/>
  <c r="H312" i="2" s="1"/>
  <c r="C310" i="2"/>
  <c r="H310" i="2" s="1"/>
  <c r="C308" i="2"/>
  <c r="H308" i="2" s="1"/>
  <c r="C306" i="2"/>
  <c r="H306" i="2" s="1"/>
  <c r="C304" i="2"/>
  <c r="H304" i="2" s="1"/>
  <c r="B303" i="2"/>
  <c r="C303" i="2" s="1"/>
  <c r="H303" i="2" s="1"/>
  <c r="B302" i="2"/>
  <c r="C302" i="2" s="1"/>
  <c r="H302" i="2" s="1"/>
  <c r="B301" i="2"/>
  <c r="C301" i="2" s="1"/>
  <c r="H301" i="2" s="1"/>
  <c r="B300" i="2"/>
  <c r="B299" i="2"/>
  <c r="B298" i="2"/>
  <c r="B297" i="2"/>
  <c r="B296" i="2"/>
  <c r="B295" i="2"/>
  <c r="C295" i="2" s="1"/>
  <c r="H295" i="2" s="1"/>
  <c r="B294" i="2"/>
  <c r="C294" i="2" s="1"/>
  <c r="H294" i="2" s="1"/>
  <c r="B293" i="2"/>
  <c r="B292" i="2"/>
  <c r="B291" i="2"/>
  <c r="B290" i="2"/>
  <c r="B289" i="2"/>
  <c r="B288" i="2"/>
  <c r="C288" i="2" s="1"/>
  <c r="H288" i="2" s="1"/>
  <c r="B287" i="2"/>
  <c r="C287" i="2" s="1"/>
  <c r="H287" i="2" s="1"/>
  <c r="B286" i="2"/>
  <c r="C286" i="2" s="1"/>
  <c r="H286" i="2" s="1"/>
  <c r="B285" i="2"/>
  <c r="C285" i="2" s="1"/>
  <c r="H285" i="2" s="1"/>
  <c r="B284" i="2"/>
  <c r="B283" i="2"/>
  <c r="B282" i="2"/>
  <c r="B281" i="2"/>
  <c r="B280" i="2"/>
  <c r="B279" i="2"/>
  <c r="C279" i="2" s="1"/>
  <c r="H279" i="2" s="1"/>
  <c r="B278" i="2"/>
  <c r="C278" i="2" s="1"/>
  <c r="H278" i="2" s="1"/>
  <c r="B277" i="2"/>
  <c r="B276" i="2"/>
  <c r="C276" i="2" s="1"/>
  <c r="H276" i="2" s="1"/>
  <c r="B275" i="2"/>
  <c r="C275" i="2" s="1"/>
  <c r="H275" i="2" s="1"/>
  <c r="B274" i="2"/>
  <c r="B273" i="2"/>
  <c r="B272" i="2"/>
  <c r="C272" i="2" s="1"/>
  <c r="H272" i="2" s="1"/>
  <c r="B271" i="2"/>
  <c r="C271" i="2" s="1"/>
  <c r="H271" i="2" s="1"/>
  <c r="B270" i="2"/>
  <c r="C270" i="2" s="1"/>
  <c r="H270" i="2" s="1"/>
  <c r="B269" i="2"/>
  <c r="C269" i="2" s="1"/>
  <c r="H269" i="2" s="1"/>
  <c r="B268" i="2"/>
  <c r="B267" i="2"/>
  <c r="B266" i="2"/>
  <c r="B265" i="2"/>
  <c r="B264" i="2"/>
  <c r="B263" i="2"/>
  <c r="C263" i="2" s="1"/>
  <c r="H263" i="2" s="1"/>
  <c r="B262" i="2"/>
  <c r="C262" i="2" s="1"/>
  <c r="H262" i="2" s="1"/>
  <c r="B261" i="2"/>
  <c r="B260" i="2"/>
  <c r="B259" i="2"/>
  <c r="B258" i="2"/>
  <c r="B257" i="2"/>
  <c r="B256" i="2"/>
  <c r="C256" i="2" s="1"/>
  <c r="H256" i="2" s="1"/>
  <c r="B255" i="2"/>
  <c r="C255" i="2" s="1"/>
  <c r="H255" i="2" s="1"/>
  <c r="B254" i="2"/>
  <c r="C254" i="2" s="1"/>
  <c r="H254" i="2" s="1"/>
  <c r="B253" i="2"/>
  <c r="C253" i="2" s="1"/>
  <c r="H253" i="2" s="1"/>
  <c r="B252" i="2"/>
  <c r="B251" i="2"/>
  <c r="B250" i="2"/>
  <c r="B249" i="2"/>
  <c r="B248" i="2"/>
  <c r="B247" i="2"/>
  <c r="C247" i="2" s="1"/>
  <c r="H247" i="2" s="1"/>
  <c r="B246" i="2"/>
  <c r="C246" i="2" s="1"/>
  <c r="H246" i="2" s="1"/>
  <c r="B245" i="2"/>
  <c r="B244" i="2"/>
  <c r="B243" i="2"/>
  <c r="B242" i="2"/>
  <c r="B241" i="2"/>
  <c r="B240" i="2"/>
  <c r="C240" i="2" s="1"/>
  <c r="H240" i="2" s="1"/>
  <c r="B239" i="2"/>
  <c r="C239" i="2" s="1"/>
  <c r="H239" i="2" s="1"/>
  <c r="B238" i="2"/>
  <c r="C238" i="2" s="1"/>
  <c r="H238" i="2" s="1"/>
  <c r="B237" i="2"/>
  <c r="C237" i="2" s="1"/>
  <c r="H237" i="2" s="1"/>
  <c r="B236" i="2"/>
  <c r="B235" i="2"/>
  <c r="B234" i="2"/>
  <c r="B233" i="2"/>
  <c r="B232" i="2"/>
  <c r="B231" i="2"/>
  <c r="C231" i="2" s="1"/>
  <c r="H231" i="2" s="1"/>
  <c r="B230" i="2"/>
  <c r="C230" i="2" s="1"/>
  <c r="H230" i="2" s="1"/>
  <c r="B229" i="2"/>
  <c r="B228" i="2"/>
  <c r="B227" i="2"/>
  <c r="B226" i="2"/>
  <c r="B225" i="2"/>
  <c r="B224" i="2"/>
  <c r="C224" i="2" s="1"/>
  <c r="H224" i="2" s="1"/>
  <c r="B223" i="2"/>
  <c r="C223" i="2" s="1"/>
  <c r="H223" i="2" s="1"/>
  <c r="B222" i="2"/>
  <c r="C222" i="2" s="1"/>
  <c r="H222" i="2" s="1"/>
  <c r="B221" i="2"/>
  <c r="C221" i="2" s="1"/>
  <c r="H221" i="2" s="1"/>
  <c r="B220" i="2"/>
  <c r="B219" i="2"/>
  <c r="B218" i="2"/>
  <c r="B217" i="2"/>
  <c r="B216" i="2"/>
  <c r="B215" i="2"/>
  <c r="C215" i="2" s="1"/>
  <c r="H215" i="2" s="1"/>
  <c r="B214" i="2"/>
  <c r="C214" i="2" s="1"/>
  <c r="H214" i="2" s="1"/>
  <c r="B213" i="2"/>
  <c r="B212" i="2"/>
  <c r="B211" i="2"/>
  <c r="B210" i="2"/>
  <c r="B209" i="2"/>
  <c r="B208" i="2"/>
  <c r="C208" i="2" s="1"/>
  <c r="H208" i="2" s="1"/>
  <c r="B207" i="2"/>
  <c r="C207" i="2" s="1"/>
  <c r="H207" i="2" s="1"/>
  <c r="B206" i="2"/>
  <c r="C206" i="2" s="1"/>
  <c r="H206" i="2" s="1"/>
  <c r="B205" i="2"/>
  <c r="C205" i="2" s="1"/>
  <c r="H205" i="2" s="1"/>
  <c r="B204" i="2"/>
  <c r="B203" i="2"/>
  <c r="B202" i="2"/>
  <c r="B201" i="2"/>
  <c r="B200" i="2"/>
  <c r="B199" i="2"/>
  <c r="C199" i="2" s="1"/>
  <c r="H199" i="2" s="1"/>
  <c r="B198" i="2"/>
  <c r="C198" i="2" s="1"/>
  <c r="H198" i="2" s="1"/>
  <c r="B197" i="2"/>
  <c r="B196" i="2"/>
  <c r="B195" i="2"/>
  <c r="B194" i="2"/>
  <c r="B193" i="2"/>
  <c r="B192" i="2"/>
  <c r="C192" i="2" s="1"/>
  <c r="H192" i="2" s="1"/>
  <c r="B191" i="2"/>
  <c r="C191" i="2" s="1"/>
  <c r="H191" i="2" s="1"/>
  <c r="B190" i="2"/>
  <c r="C190" i="2" s="1"/>
  <c r="H190" i="2" s="1"/>
  <c r="B189" i="2"/>
  <c r="C189" i="2" s="1"/>
  <c r="H189" i="2" s="1"/>
  <c r="B188" i="2"/>
  <c r="B187" i="2"/>
  <c r="B186" i="2"/>
  <c r="B185" i="2"/>
  <c r="B184" i="2"/>
  <c r="B183" i="2"/>
  <c r="C183" i="2" s="1"/>
  <c r="H183" i="2" s="1"/>
  <c r="B182" i="2"/>
  <c r="C182" i="2" s="1"/>
  <c r="H182" i="2" s="1"/>
  <c r="B181" i="2"/>
  <c r="B180" i="2"/>
  <c r="B179" i="2"/>
  <c r="B178" i="2"/>
  <c r="B177" i="2"/>
  <c r="B176" i="2"/>
  <c r="C176" i="2" s="1"/>
  <c r="H176" i="2" s="1"/>
  <c r="B175" i="2"/>
  <c r="C175" i="2" s="1"/>
  <c r="H175" i="2" s="1"/>
  <c r="B174" i="2"/>
  <c r="C174" i="2" s="1"/>
  <c r="H174" i="2" s="1"/>
  <c r="B173" i="2"/>
  <c r="C173" i="2" s="1"/>
  <c r="H173" i="2" s="1"/>
  <c r="B172" i="2"/>
  <c r="B171" i="2"/>
  <c r="B170" i="2"/>
  <c r="B169" i="2"/>
  <c r="B168" i="2"/>
  <c r="B167" i="2"/>
  <c r="C167" i="2" s="1"/>
  <c r="H167" i="2" s="1"/>
  <c r="B166" i="2"/>
  <c r="C166" i="2" s="1"/>
  <c r="H166" i="2" s="1"/>
  <c r="B165" i="2"/>
  <c r="B164" i="2"/>
  <c r="B163" i="2"/>
  <c r="B162" i="2"/>
  <c r="B161" i="2"/>
  <c r="B160" i="2"/>
  <c r="C160" i="2" s="1"/>
  <c r="H160" i="2" s="1"/>
  <c r="B159" i="2"/>
  <c r="C159" i="2" s="1"/>
  <c r="H159" i="2" s="1"/>
  <c r="B158" i="2"/>
  <c r="C158" i="2" s="1"/>
  <c r="H158" i="2" s="1"/>
  <c r="B157" i="2"/>
  <c r="C157" i="2" s="1"/>
  <c r="H157" i="2" s="1"/>
  <c r="B156" i="2"/>
  <c r="B155" i="2"/>
  <c r="B154" i="2"/>
  <c r="B153" i="2"/>
  <c r="B152" i="2"/>
  <c r="B151" i="2"/>
  <c r="C151" i="2" s="1"/>
  <c r="H151" i="2" s="1"/>
  <c r="B150" i="2"/>
  <c r="C150" i="2" s="1"/>
  <c r="H150" i="2" s="1"/>
  <c r="B149" i="2"/>
  <c r="B148" i="2"/>
  <c r="B147" i="2"/>
  <c r="B146" i="2"/>
  <c r="B145" i="2"/>
  <c r="B144" i="2"/>
  <c r="C144" i="2" s="1"/>
  <c r="H144" i="2" s="1"/>
  <c r="B143" i="2"/>
  <c r="C143" i="2" s="1"/>
  <c r="H143" i="2" s="1"/>
  <c r="B142" i="2"/>
  <c r="C142" i="2" s="1"/>
  <c r="H142" i="2" s="1"/>
  <c r="B141" i="2"/>
  <c r="C141" i="2" s="1"/>
  <c r="H141" i="2" s="1"/>
  <c r="B140" i="2"/>
  <c r="B139" i="2"/>
  <c r="B138" i="2"/>
  <c r="B137" i="2"/>
  <c r="B136" i="2"/>
  <c r="B135" i="2"/>
  <c r="C135" i="2" s="1"/>
  <c r="H135" i="2" s="1"/>
  <c r="B134" i="2"/>
  <c r="C134" i="2" s="1"/>
  <c r="H134" i="2" s="1"/>
  <c r="B133" i="2"/>
  <c r="B132" i="2"/>
  <c r="B131" i="2"/>
  <c r="B130" i="2"/>
  <c r="B129" i="2"/>
  <c r="B128" i="2"/>
  <c r="C128" i="2" s="1"/>
  <c r="H128" i="2" s="1"/>
  <c r="B127" i="2"/>
  <c r="C127" i="2" s="1"/>
  <c r="H127" i="2" s="1"/>
  <c r="B126" i="2"/>
  <c r="C126" i="2" s="1"/>
  <c r="H126" i="2" s="1"/>
  <c r="B125" i="2"/>
  <c r="C125" i="2" s="1"/>
  <c r="H125" i="2" s="1"/>
  <c r="B124" i="2"/>
  <c r="B123" i="2"/>
  <c r="B122" i="2"/>
  <c r="B121" i="2"/>
  <c r="B120" i="2"/>
  <c r="B119" i="2"/>
  <c r="C119" i="2" s="1"/>
  <c r="H119" i="2" s="1"/>
  <c r="B118" i="2"/>
  <c r="C118" i="2" s="1"/>
  <c r="H118" i="2" s="1"/>
  <c r="B117" i="2"/>
  <c r="B116" i="2"/>
  <c r="B115" i="2"/>
  <c r="B114" i="2"/>
  <c r="B113" i="2"/>
  <c r="B112" i="2"/>
  <c r="C112" i="2" s="1"/>
  <c r="H112" i="2" s="1"/>
  <c r="B111" i="2"/>
  <c r="C111" i="2" s="1"/>
  <c r="H111" i="2" s="1"/>
  <c r="B110" i="2"/>
  <c r="C110" i="2" s="1"/>
  <c r="H110" i="2" s="1"/>
  <c r="B109" i="2"/>
  <c r="C109" i="2" s="1"/>
  <c r="H109" i="2" s="1"/>
  <c r="B108" i="2"/>
  <c r="B107" i="2"/>
  <c r="B106" i="2"/>
  <c r="B105" i="2"/>
  <c r="B104" i="2"/>
  <c r="B103" i="2"/>
  <c r="C103" i="2" s="1"/>
  <c r="H103" i="2" s="1"/>
  <c r="B102" i="2"/>
  <c r="C102" i="2" s="1"/>
  <c r="H102" i="2" s="1"/>
  <c r="B101" i="2"/>
  <c r="B100" i="2"/>
  <c r="B99" i="2"/>
  <c r="B98" i="2"/>
  <c r="B97" i="2"/>
  <c r="B96" i="2"/>
  <c r="C96" i="2" s="1"/>
  <c r="H96" i="2" s="1"/>
  <c r="B95" i="2"/>
  <c r="C95" i="2" s="1"/>
  <c r="H95" i="2" s="1"/>
  <c r="B94" i="2"/>
  <c r="C94" i="2" s="1"/>
  <c r="H94" i="2" s="1"/>
  <c r="B93" i="2"/>
  <c r="C93" i="2" s="1"/>
  <c r="H93" i="2" s="1"/>
  <c r="B92" i="2"/>
  <c r="B91" i="2"/>
  <c r="B90" i="2"/>
  <c r="B89" i="2"/>
  <c r="B88" i="2"/>
  <c r="B87" i="2"/>
  <c r="C87" i="2" s="1"/>
  <c r="H87" i="2" s="1"/>
  <c r="B86" i="2"/>
  <c r="C86" i="2" s="1"/>
  <c r="H86" i="2" s="1"/>
  <c r="B85" i="2"/>
  <c r="B84" i="2"/>
  <c r="B83" i="2"/>
  <c r="B82" i="2"/>
  <c r="B81" i="2"/>
  <c r="B80" i="2"/>
  <c r="C80" i="2" s="1"/>
  <c r="H80" i="2" s="1"/>
  <c r="B79" i="2"/>
  <c r="C79" i="2" s="1"/>
  <c r="H79" i="2" s="1"/>
  <c r="B78" i="2"/>
  <c r="C78" i="2" s="1"/>
  <c r="H78" i="2" s="1"/>
  <c r="B77" i="2"/>
  <c r="C77" i="2" s="1"/>
  <c r="H77" i="2" s="1"/>
  <c r="B76" i="2"/>
  <c r="B75" i="2"/>
  <c r="B74" i="2"/>
  <c r="B73" i="2"/>
  <c r="B72" i="2"/>
  <c r="B71" i="2"/>
  <c r="C71" i="2" s="1"/>
  <c r="H71" i="2" s="1"/>
  <c r="B70" i="2"/>
  <c r="C70" i="2" s="1"/>
  <c r="H70" i="2" s="1"/>
  <c r="B69" i="2"/>
  <c r="C69" i="2" s="1"/>
  <c r="H69" i="2" s="1"/>
  <c r="B68" i="2"/>
  <c r="B67" i="2"/>
  <c r="B66" i="2"/>
  <c r="B65" i="2"/>
  <c r="B64" i="2"/>
  <c r="C64" i="2" s="1"/>
  <c r="H64" i="2" s="1"/>
  <c r="B63" i="2"/>
  <c r="C63" i="2" s="1"/>
  <c r="H63" i="2" s="1"/>
  <c r="B62" i="2"/>
  <c r="C62" i="2" s="1"/>
  <c r="H62" i="2" s="1"/>
  <c r="B61" i="2"/>
  <c r="C61" i="2" s="1"/>
  <c r="H61" i="2" s="1"/>
  <c r="B60" i="2"/>
  <c r="B59" i="2"/>
  <c r="B58" i="2"/>
  <c r="B57" i="2"/>
  <c r="B56" i="2"/>
  <c r="B55" i="2"/>
  <c r="C55" i="2" s="1"/>
  <c r="H55" i="2" s="1"/>
  <c r="B54" i="2"/>
  <c r="C54" i="2" s="1"/>
  <c r="H54" i="2" s="1"/>
  <c r="B53" i="2"/>
  <c r="C53" i="2" s="1"/>
  <c r="H53" i="2" s="1"/>
  <c r="B52" i="2"/>
  <c r="B51" i="2"/>
  <c r="B50" i="2"/>
  <c r="B49" i="2"/>
  <c r="B48" i="2"/>
  <c r="C48" i="2" s="1"/>
  <c r="H48" i="2" s="1"/>
  <c r="B47" i="2"/>
  <c r="C47" i="2" s="1"/>
  <c r="H47" i="2" s="1"/>
  <c r="B46" i="2"/>
  <c r="C46" i="2" s="1"/>
  <c r="H46" i="2" s="1"/>
  <c r="B45" i="2"/>
  <c r="C45" i="2" s="1"/>
  <c r="H45" i="2" s="1"/>
  <c r="B44" i="2"/>
  <c r="B43" i="2"/>
  <c r="B42" i="2"/>
  <c r="B41" i="2"/>
  <c r="B40" i="2"/>
  <c r="B39" i="2"/>
  <c r="C39" i="2" s="1"/>
  <c r="H39" i="2" s="1"/>
  <c r="B38" i="2"/>
  <c r="C38" i="2" s="1"/>
  <c r="H38" i="2" s="1"/>
  <c r="B37" i="2"/>
  <c r="C37" i="2" s="1"/>
  <c r="H37" i="2" s="1"/>
  <c r="B36" i="2"/>
  <c r="B35" i="2"/>
  <c r="B34" i="2"/>
  <c r="B33" i="2"/>
  <c r="B32" i="2"/>
  <c r="C32" i="2" s="1"/>
  <c r="H32" i="2" s="1"/>
  <c r="B31" i="2"/>
  <c r="C31" i="2" s="1"/>
  <c r="H31" i="2" s="1"/>
  <c r="B30" i="2"/>
  <c r="C30" i="2" s="1"/>
  <c r="H30" i="2" s="1"/>
  <c r="B29" i="2"/>
  <c r="C29" i="2" s="1"/>
  <c r="H29" i="2" s="1"/>
  <c r="B28" i="2"/>
  <c r="B27" i="2"/>
  <c r="B26" i="2"/>
  <c r="B25" i="2"/>
  <c r="B24" i="2"/>
  <c r="B23" i="2"/>
  <c r="C23" i="2" s="1"/>
  <c r="H23" i="2" s="1"/>
  <c r="B22" i="2"/>
  <c r="C22" i="2" s="1"/>
  <c r="H22" i="2" s="1"/>
  <c r="B21" i="2"/>
  <c r="C21" i="2" s="1"/>
  <c r="H21" i="2" s="1"/>
  <c r="B20" i="2"/>
  <c r="B19" i="2"/>
  <c r="B18" i="2"/>
  <c r="B17" i="2"/>
  <c r="B16" i="2"/>
  <c r="C16" i="2" s="1"/>
  <c r="H16" i="2" s="1"/>
  <c r="B15" i="2"/>
  <c r="C15" i="2" s="1"/>
  <c r="H15" i="2" s="1"/>
  <c r="B14" i="2"/>
  <c r="C14" i="2" s="1"/>
  <c r="H14" i="2" s="1"/>
  <c r="B13" i="2"/>
  <c r="C13" i="2" s="1"/>
  <c r="H13" i="2" s="1"/>
  <c r="B12" i="2"/>
  <c r="B11" i="2"/>
  <c r="B10" i="2"/>
  <c r="B9" i="2"/>
  <c r="B8" i="2"/>
  <c r="B7" i="2"/>
  <c r="C7" i="2" s="1"/>
  <c r="H7" i="2" s="1"/>
  <c r="B6" i="2"/>
  <c r="C6" i="2" s="1"/>
  <c r="H6" i="2" s="1"/>
  <c r="B5" i="2"/>
  <c r="C5" i="2" s="1"/>
  <c r="H5" i="2" s="1"/>
  <c r="B4" i="2"/>
  <c r="B3" i="2"/>
  <c r="C8" i="2"/>
  <c r="H8" i="2" s="1"/>
  <c r="C9" i="2"/>
  <c r="H9" i="2" s="1"/>
  <c r="C10" i="2"/>
  <c r="H10" i="2" s="1"/>
  <c r="C11" i="2"/>
  <c r="H11" i="2" s="1"/>
  <c r="C12" i="2"/>
  <c r="H12" i="2" s="1"/>
  <c r="C17" i="2"/>
  <c r="H17" i="2" s="1"/>
  <c r="C18" i="2"/>
  <c r="H18" i="2" s="1"/>
  <c r="C19" i="2"/>
  <c r="H19" i="2" s="1"/>
  <c r="C20" i="2"/>
  <c r="H20" i="2" s="1"/>
  <c r="C24" i="2"/>
  <c r="H24" i="2" s="1"/>
  <c r="C25" i="2"/>
  <c r="H25" i="2" s="1"/>
  <c r="C26" i="2"/>
  <c r="H26" i="2" s="1"/>
  <c r="C27" i="2"/>
  <c r="H27" i="2" s="1"/>
  <c r="C28" i="2"/>
  <c r="H28" i="2" s="1"/>
  <c r="C33" i="2"/>
  <c r="H33" i="2" s="1"/>
  <c r="C34" i="2"/>
  <c r="H34" i="2" s="1"/>
  <c r="C35" i="2"/>
  <c r="H35" i="2" s="1"/>
  <c r="C36" i="2"/>
  <c r="H36" i="2" s="1"/>
  <c r="C40" i="2"/>
  <c r="H40" i="2" s="1"/>
  <c r="C41" i="2"/>
  <c r="H41" i="2" s="1"/>
  <c r="C42" i="2"/>
  <c r="H42" i="2" s="1"/>
  <c r="C43" i="2"/>
  <c r="H43" i="2" s="1"/>
  <c r="C44" i="2"/>
  <c r="H44" i="2" s="1"/>
  <c r="C49" i="2"/>
  <c r="H49" i="2" s="1"/>
  <c r="C50" i="2"/>
  <c r="H50" i="2" s="1"/>
  <c r="C51" i="2"/>
  <c r="H51" i="2" s="1"/>
  <c r="C52" i="2"/>
  <c r="H52" i="2" s="1"/>
  <c r="C56" i="2"/>
  <c r="H56" i="2" s="1"/>
  <c r="C57" i="2"/>
  <c r="H57" i="2" s="1"/>
  <c r="C58" i="2"/>
  <c r="H58" i="2" s="1"/>
  <c r="C59" i="2"/>
  <c r="H59" i="2" s="1"/>
  <c r="C60" i="2"/>
  <c r="H60" i="2" s="1"/>
  <c r="C65" i="2"/>
  <c r="H65" i="2" s="1"/>
  <c r="C66" i="2"/>
  <c r="H66" i="2" s="1"/>
  <c r="C67" i="2"/>
  <c r="H67" i="2" s="1"/>
  <c r="C68" i="2"/>
  <c r="H68" i="2" s="1"/>
  <c r="C72" i="2"/>
  <c r="H72" i="2" s="1"/>
  <c r="C73" i="2"/>
  <c r="H73" i="2" s="1"/>
  <c r="C74" i="2"/>
  <c r="H74" i="2" s="1"/>
  <c r="C75" i="2"/>
  <c r="H75" i="2" s="1"/>
  <c r="C76" i="2"/>
  <c r="H76" i="2" s="1"/>
  <c r="C81" i="2"/>
  <c r="H81" i="2" s="1"/>
  <c r="C82" i="2"/>
  <c r="H82" i="2" s="1"/>
  <c r="C83" i="2"/>
  <c r="H83" i="2" s="1"/>
  <c r="C84" i="2"/>
  <c r="H84" i="2" s="1"/>
  <c r="C85" i="2"/>
  <c r="H85" i="2" s="1"/>
  <c r="C88" i="2"/>
  <c r="H88" i="2" s="1"/>
  <c r="C89" i="2"/>
  <c r="H89" i="2" s="1"/>
  <c r="C90" i="2"/>
  <c r="H90" i="2" s="1"/>
  <c r="C91" i="2"/>
  <c r="H91" i="2" s="1"/>
  <c r="C92" i="2"/>
  <c r="H92" i="2" s="1"/>
  <c r="C97" i="2"/>
  <c r="H97" i="2" s="1"/>
  <c r="C98" i="2"/>
  <c r="H98" i="2" s="1"/>
  <c r="C99" i="2"/>
  <c r="H99" i="2" s="1"/>
  <c r="C100" i="2"/>
  <c r="H100" i="2" s="1"/>
  <c r="C101" i="2"/>
  <c r="H101" i="2" s="1"/>
  <c r="C104" i="2"/>
  <c r="H104" i="2" s="1"/>
  <c r="C105" i="2"/>
  <c r="H105" i="2" s="1"/>
  <c r="C106" i="2"/>
  <c r="H106" i="2" s="1"/>
  <c r="C107" i="2"/>
  <c r="H107" i="2" s="1"/>
  <c r="C108" i="2"/>
  <c r="H108" i="2" s="1"/>
  <c r="C113" i="2"/>
  <c r="H113" i="2" s="1"/>
  <c r="C114" i="2"/>
  <c r="H114" i="2" s="1"/>
  <c r="C115" i="2"/>
  <c r="H115" i="2" s="1"/>
  <c r="C116" i="2"/>
  <c r="H116" i="2" s="1"/>
  <c r="C117" i="2"/>
  <c r="H117" i="2" s="1"/>
  <c r="C120" i="2"/>
  <c r="H120" i="2" s="1"/>
  <c r="C121" i="2"/>
  <c r="H121" i="2" s="1"/>
  <c r="C122" i="2"/>
  <c r="H122" i="2" s="1"/>
  <c r="C123" i="2"/>
  <c r="H123" i="2" s="1"/>
  <c r="C124" i="2"/>
  <c r="H124" i="2" s="1"/>
  <c r="C129" i="2"/>
  <c r="H129" i="2" s="1"/>
  <c r="C130" i="2"/>
  <c r="H130" i="2" s="1"/>
  <c r="C131" i="2"/>
  <c r="H131" i="2" s="1"/>
  <c r="C132" i="2"/>
  <c r="H132" i="2" s="1"/>
  <c r="C133" i="2"/>
  <c r="H133" i="2" s="1"/>
  <c r="C136" i="2"/>
  <c r="H136" i="2" s="1"/>
  <c r="C137" i="2"/>
  <c r="H137" i="2" s="1"/>
  <c r="C138" i="2"/>
  <c r="H138" i="2" s="1"/>
  <c r="C139" i="2"/>
  <c r="H139" i="2" s="1"/>
  <c r="C140" i="2"/>
  <c r="H140" i="2" s="1"/>
  <c r="C145" i="2"/>
  <c r="H145" i="2" s="1"/>
  <c r="C146" i="2"/>
  <c r="H146" i="2" s="1"/>
  <c r="C147" i="2"/>
  <c r="H147" i="2" s="1"/>
  <c r="C148" i="2"/>
  <c r="H148" i="2" s="1"/>
  <c r="C149" i="2"/>
  <c r="H149" i="2" s="1"/>
  <c r="C152" i="2"/>
  <c r="H152" i="2" s="1"/>
  <c r="C153" i="2"/>
  <c r="H153" i="2" s="1"/>
  <c r="C154" i="2"/>
  <c r="H154" i="2" s="1"/>
  <c r="C155" i="2"/>
  <c r="H155" i="2" s="1"/>
  <c r="C156" i="2"/>
  <c r="H156" i="2" s="1"/>
  <c r="C161" i="2"/>
  <c r="H161" i="2" s="1"/>
  <c r="C162" i="2"/>
  <c r="H162" i="2" s="1"/>
  <c r="C163" i="2"/>
  <c r="H163" i="2" s="1"/>
  <c r="C164" i="2"/>
  <c r="H164" i="2" s="1"/>
  <c r="C165" i="2"/>
  <c r="H165" i="2" s="1"/>
  <c r="C168" i="2"/>
  <c r="H168" i="2" s="1"/>
  <c r="C169" i="2"/>
  <c r="H169" i="2" s="1"/>
  <c r="C170" i="2"/>
  <c r="H170" i="2" s="1"/>
  <c r="C171" i="2"/>
  <c r="H171" i="2" s="1"/>
  <c r="C172" i="2"/>
  <c r="H172" i="2" s="1"/>
  <c r="C177" i="2"/>
  <c r="H177" i="2" s="1"/>
  <c r="C178" i="2"/>
  <c r="H178" i="2" s="1"/>
  <c r="C179" i="2"/>
  <c r="H179" i="2" s="1"/>
  <c r="C180" i="2"/>
  <c r="H180" i="2" s="1"/>
  <c r="C181" i="2"/>
  <c r="H181" i="2" s="1"/>
  <c r="C184" i="2"/>
  <c r="H184" i="2" s="1"/>
  <c r="C185" i="2"/>
  <c r="H185" i="2" s="1"/>
  <c r="C186" i="2"/>
  <c r="H186" i="2" s="1"/>
  <c r="C187" i="2"/>
  <c r="H187" i="2" s="1"/>
  <c r="C188" i="2"/>
  <c r="H188" i="2" s="1"/>
  <c r="C193" i="2"/>
  <c r="H193" i="2" s="1"/>
  <c r="C194" i="2"/>
  <c r="H194" i="2" s="1"/>
  <c r="C195" i="2"/>
  <c r="H195" i="2" s="1"/>
  <c r="C196" i="2"/>
  <c r="H196" i="2" s="1"/>
  <c r="C197" i="2"/>
  <c r="H197" i="2" s="1"/>
  <c r="C200" i="2"/>
  <c r="H200" i="2" s="1"/>
  <c r="C201" i="2"/>
  <c r="H201" i="2" s="1"/>
  <c r="C202" i="2"/>
  <c r="H202" i="2" s="1"/>
  <c r="C203" i="2"/>
  <c r="H203" i="2" s="1"/>
  <c r="C204" i="2"/>
  <c r="H204" i="2" s="1"/>
  <c r="C209" i="2"/>
  <c r="H209" i="2" s="1"/>
  <c r="C210" i="2"/>
  <c r="H210" i="2" s="1"/>
  <c r="C211" i="2"/>
  <c r="H211" i="2" s="1"/>
  <c r="C212" i="2"/>
  <c r="H212" i="2" s="1"/>
  <c r="C213" i="2"/>
  <c r="H213" i="2" s="1"/>
  <c r="C216" i="2"/>
  <c r="H216" i="2" s="1"/>
  <c r="C217" i="2"/>
  <c r="H217" i="2" s="1"/>
  <c r="C218" i="2"/>
  <c r="H218" i="2" s="1"/>
  <c r="C219" i="2"/>
  <c r="H219" i="2" s="1"/>
  <c r="C220" i="2"/>
  <c r="H220" i="2" s="1"/>
  <c r="C225" i="2"/>
  <c r="H225" i="2" s="1"/>
  <c r="C226" i="2"/>
  <c r="H226" i="2" s="1"/>
  <c r="C227" i="2"/>
  <c r="H227" i="2" s="1"/>
  <c r="C228" i="2"/>
  <c r="H228" i="2" s="1"/>
  <c r="C229" i="2"/>
  <c r="H229" i="2" s="1"/>
  <c r="C232" i="2"/>
  <c r="H232" i="2" s="1"/>
  <c r="C233" i="2"/>
  <c r="H233" i="2" s="1"/>
  <c r="C234" i="2"/>
  <c r="H234" i="2" s="1"/>
  <c r="C235" i="2"/>
  <c r="H235" i="2" s="1"/>
  <c r="C236" i="2"/>
  <c r="H236" i="2" s="1"/>
  <c r="C241" i="2"/>
  <c r="H241" i="2" s="1"/>
  <c r="C242" i="2"/>
  <c r="H242" i="2" s="1"/>
  <c r="C243" i="2"/>
  <c r="H243" i="2" s="1"/>
  <c r="C244" i="2"/>
  <c r="H244" i="2" s="1"/>
  <c r="C245" i="2"/>
  <c r="H245" i="2" s="1"/>
  <c r="C248" i="2"/>
  <c r="H248" i="2" s="1"/>
  <c r="C249" i="2"/>
  <c r="H249" i="2" s="1"/>
  <c r="C250" i="2"/>
  <c r="H250" i="2" s="1"/>
  <c r="C251" i="2"/>
  <c r="H251" i="2" s="1"/>
  <c r="C252" i="2"/>
  <c r="H252" i="2" s="1"/>
  <c r="C257" i="2"/>
  <c r="H257" i="2" s="1"/>
  <c r="C258" i="2"/>
  <c r="H258" i="2" s="1"/>
  <c r="C259" i="2"/>
  <c r="H259" i="2" s="1"/>
  <c r="C260" i="2"/>
  <c r="H260" i="2" s="1"/>
  <c r="C261" i="2"/>
  <c r="H261" i="2" s="1"/>
  <c r="C264" i="2"/>
  <c r="H264" i="2" s="1"/>
  <c r="C265" i="2"/>
  <c r="H265" i="2" s="1"/>
  <c r="C266" i="2"/>
  <c r="H266" i="2" s="1"/>
  <c r="C267" i="2"/>
  <c r="H267" i="2" s="1"/>
  <c r="C268" i="2"/>
  <c r="H268" i="2" s="1"/>
  <c r="C273" i="2"/>
  <c r="H273" i="2" s="1"/>
  <c r="C274" i="2"/>
  <c r="H274" i="2" s="1"/>
  <c r="C277" i="2"/>
  <c r="H277" i="2" s="1"/>
  <c r="C280" i="2"/>
  <c r="H280" i="2" s="1"/>
  <c r="C281" i="2"/>
  <c r="H281" i="2" s="1"/>
  <c r="C282" i="2"/>
  <c r="H282" i="2" s="1"/>
  <c r="C283" i="2"/>
  <c r="H283" i="2" s="1"/>
  <c r="C284" i="2"/>
  <c r="H284" i="2" s="1"/>
  <c r="C289" i="2"/>
  <c r="H289" i="2" s="1"/>
  <c r="C290" i="2"/>
  <c r="H290" i="2" s="1"/>
  <c r="C291" i="2"/>
  <c r="H291" i="2" s="1"/>
  <c r="C292" i="2"/>
  <c r="H292" i="2" s="1"/>
  <c r="C293" i="2"/>
  <c r="H293" i="2" s="1"/>
  <c r="C296" i="2"/>
  <c r="H296" i="2" s="1"/>
  <c r="C297" i="2"/>
  <c r="H297" i="2" s="1"/>
  <c r="C298" i="2"/>
  <c r="H298" i="2" s="1"/>
  <c r="C299" i="2"/>
  <c r="H299" i="2" s="1"/>
  <c r="C300" i="2"/>
  <c r="H300" i="2" s="1"/>
  <c r="C305" i="2"/>
  <c r="H305" i="2" s="1"/>
  <c r="C307" i="2"/>
  <c r="H307" i="2" s="1"/>
  <c r="C309" i="2"/>
  <c r="H309" i="2" s="1"/>
  <c r="C311" i="2"/>
  <c r="H311" i="2" s="1"/>
  <c r="C313" i="2"/>
  <c r="H313" i="2" s="1"/>
  <c r="C315" i="2"/>
  <c r="H315" i="2" s="1"/>
  <c r="C317" i="2"/>
  <c r="H317" i="2" s="1"/>
  <c r="C319" i="2"/>
  <c r="H319" i="2" s="1"/>
  <c r="C321" i="2"/>
  <c r="H321" i="2" s="1"/>
  <c r="C323" i="2"/>
  <c r="H323" i="2" s="1"/>
  <c r="C325" i="2"/>
  <c r="H325" i="2" s="1"/>
  <c r="C329" i="2"/>
  <c r="H329" i="2" s="1"/>
  <c r="C331" i="2"/>
  <c r="H331" i="2" s="1"/>
  <c r="C335" i="2"/>
  <c r="H335" i="2" s="1"/>
  <c r="C337" i="2"/>
  <c r="H337" i="2" s="1"/>
  <c r="C339" i="2"/>
  <c r="H339" i="2" s="1"/>
  <c r="C341" i="2"/>
  <c r="H341" i="2" s="1"/>
  <c r="C343" i="2"/>
  <c r="H343" i="2" s="1"/>
  <c r="C345" i="2"/>
  <c r="H345" i="2" s="1"/>
  <c r="C347" i="2"/>
  <c r="H347" i="2" s="1"/>
  <c r="C349" i="2"/>
  <c r="H349" i="2" s="1"/>
  <c r="C351" i="2"/>
  <c r="H351" i="2" s="1"/>
  <c r="C353" i="2"/>
  <c r="H353" i="2" s="1"/>
  <c r="C355" i="2"/>
  <c r="H355" i="2" s="1"/>
  <c r="C357" i="2"/>
  <c r="H357" i="2" s="1"/>
  <c r="C361" i="2"/>
  <c r="H361" i="2" s="1"/>
  <c r="C363" i="2"/>
  <c r="H363" i="2" s="1"/>
  <c r="C367" i="2"/>
  <c r="H367" i="2" s="1"/>
  <c r="C369" i="2"/>
  <c r="H369" i="2" s="1"/>
  <c r="C371" i="2"/>
  <c r="H371" i="2" s="1"/>
  <c r="C373" i="2"/>
  <c r="H373" i="2" s="1"/>
  <c r="C375" i="2"/>
  <c r="H375" i="2" s="1"/>
  <c r="C377" i="2"/>
  <c r="H377" i="2" s="1"/>
  <c r="C379" i="2"/>
  <c r="H379" i="2" s="1"/>
  <c r="C381" i="2"/>
  <c r="H381" i="2" s="1"/>
  <c r="C383" i="2"/>
  <c r="H383" i="2" s="1"/>
  <c r="C385" i="2"/>
  <c r="H385" i="2" s="1"/>
  <c r="C387" i="2"/>
  <c r="H387" i="2" s="1"/>
  <c r="C389" i="2"/>
  <c r="H389" i="2" s="1"/>
  <c r="C393" i="2"/>
  <c r="H393" i="2" s="1"/>
  <c r="C395" i="2"/>
  <c r="H395" i="2" s="1"/>
  <c r="C399" i="2"/>
  <c r="H399" i="2" s="1"/>
  <c r="C401" i="2"/>
  <c r="H401" i="2" s="1"/>
  <c r="C403" i="2"/>
  <c r="H403" i="2" s="1"/>
  <c r="C405" i="2"/>
  <c r="H405" i="2" s="1"/>
  <c r="C407" i="2"/>
  <c r="H407" i="2" s="1"/>
  <c r="C409" i="2"/>
  <c r="H409" i="2" s="1"/>
  <c r="C411" i="2"/>
  <c r="H411" i="2" s="1"/>
  <c r="C413" i="2"/>
  <c r="H413" i="2" s="1"/>
  <c r="C414" i="2"/>
  <c r="H414" i="2" s="1"/>
  <c r="C415" i="2"/>
  <c r="H415" i="2" s="1"/>
  <c r="C417" i="2"/>
  <c r="H417" i="2" s="1"/>
  <c r="C418" i="2"/>
  <c r="H418" i="2" s="1"/>
  <c r="C419" i="2"/>
  <c r="H419" i="2" s="1"/>
  <c r="C425" i="2"/>
  <c r="H425" i="2" s="1"/>
  <c r="C426" i="2"/>
  <c r="H426" i="2" s="1"/>
  <c r="C427" i="2"/>
  <c r="H427" i="2" s="1"/>
  <c r="C429" i="2"/>
  <c r="H429" i="2" s="1"/>
  <c r="C430" i="2"/>
  <c r="H430" i="2" s="1"/>
  <c r="C431" i="2"/>
  <c r="H431" i="2" s="1"/>
  <c r="C433" i="2"/>
  <c r="H433" i="2" s="1"/>
  <c r="C435" i="2"/>
  <c r="H435" i="2" s="1"/>
  <c r="C437" i="2"/>
  <c r="H437" i="2" s="1"/>
  <c r="C439" i="2"/>
  <c r="H439" i="2" s="1"/>
  <c r="C441" i="2"/>
  <c r="H441" i="2" s="1"/>
  <c r="C442" i="2"/>
  <c r="H442" i="2" s="1"/>
  <c r="C443" i="2"/>
  <c r="H443" i="2" s="1"/>
  <c r="C446" i="2"/>
  <c r="H446" i="2" s="1"/>
  <c r="C447" i="2"/>
  <c r="H447" i="2" s="1"/>
  <c r="C449" i="2"/>
  <c r="H449" i="2" s="1"/>
  <c r="C450" i="2"/>
  <c r="H450" i="2" s="1"/>
  <c r="C451" i="2"/>
  <c r="H451" i="2" s="1"/>
  <c r="C453" i="2"/>
  <c r="H453" i="2" s="1"/>
  <c r="C454" i="2"/>
  <c r="H454" i="2" s="1"/>
  <c r="C457" i="2"/>
  <c r="H457" i="2" s="1"/>
  <c r="C458" i="2"/>
  <c r="H458" i="2" s="1"/>
  <c r="C459" i="2"/>
  <c r="H459" i="2" s="1"/>
  <c r="C461" i="2"/>
  <c r="H461" i="2" s="1"/>
  <c r="C462" i="2"/>
  <c r="H462" i="2" s="1"/>
  <c r="C465" i="2"/>
  <c r="H465" i="2" s="1"/>
  <c r="C467" i="2"/>
  <c r="H467" i="2" s="1"/>
  <c r="C469" i="2"/>
  <c r="H469" i="2" s="1"/>
  <c r="C470" i="2"/>
  <c r="H470" i="2" s="1"/>
  <c r="C471" i="2"/>
  <c r="H471" i="2" s="1"/>
  <c r="C473" i="2"/>
  <c r="H473" i="2" s="1"/>
  <c r="C474" i="2"/>
  <c r="H474" i="2" s="1"/>
  <c r="C475" i="2"/>
  <c r="H475" i="2" s="1"/>
  <c r="C477" i="2"/>
  <c r="H477" i="2" s="1"/>
  <c r="C478" i="2"/>
  <c r="H478" i="2" s="1"/>
  <c r="C479" i="2"/>
  <c r="H479" i="2" s="1"/>
  <c r="C481" i="2"/>
  <c r="H481" i="2" s="1"/>
  <c r="C482" i="2"/>
  <c r="H482" i="2" s="1"/>
  <c r="C483" i="2"/>
  <c r="H483" i="2" s="1"/>
  <c r="C489" i="2"/>
  <c r="H489" i="2" s="1"/>
  <c r="C490" i="2"/>
  <c r="H490" i="2" s="1"/>
  <c r="C491" i="2"/>
  <c r="H491" i="2" s="1"/>
  <c r="C493" i="2"/>
  <c r="H493" i="2" s="1"/>
  <c r="C494" i="2"/>
  <c r="H494" i="2" s="1"/>
  <c r="C495" i="2"/>
  <c r="H495" i="2" s="1"/>
  <c r="C497" i="2"/>
  <c r="H497" i="2" s="1"/>
  <c r="C498" i="2"/>
  <c r="H498" i="2" s="1"/>
  <c r="C499" i="2"/>
  <c r="H499" i="2" s="1"/>
  <c r="C501" i="2"/>
  <c r="H501" i="2" s="1"/>
  <c r="C503" i="2"/>
  <c r="H503" i="2" s="1"/>
  <c r="C505" i="2"/>
  <c r="H505" i="2" s="1"/>
  <c r="C506" i="2"/>
  <c r="H506" i="2" s="1"/>
  <c r="C507" i="2"/>
  <c r="H507" i="2" s="1"/>
  <c r="C510" i="2"/>
  <c r="H510" i="2" s="1"/>
  <c r="C511" i="2"/>
  <c r="H511" i="2" s="1"/>
  <c r="C513" i="2"/>
  <c r="H513" i="2" s="1"/>
  <c r="C514" i="2"/>
  <c r="H514" i="2" s="1"/>
  <c r="C515" i="2"/>
  <c r="H515" i="2" s="1"/>
  <c r="C517" i="2"/>
  <c r="H517" i="2" s="1"/>
  <c r="C518" i="2"/>
  <c r="H518" i="2" s="1"/>
  <c r="C519" i="2"/>
  <c r="H519" i="2" s="1"/>
  <c r="C521" i="2"/>
  <c r="H521" i="2" s="1"/>
  <c r="C522" i="2"/>
  <c r="H522" i="2" s="1"/>
  <c r="C523" i="2"/>
  <c r="H523" i="2" s="1"/>
  <c r="C525" i="2"/>
  <c r="H525" i="2" s="1"/>
  <c r="C526" i="2"/>
  <c r="H526" i="2" s="1"/>
  <c r="C527" i="2"/>
  <c r="H527" i="2" s="1"/>
  <c r="C529" i="2"/>
  <c r="H529" i="2" s="1"/>
  <c r="C531" i="2"/>
  <c r="H531" i="2" s="1"/>
  <c r="C533" i="2"/>
  <c r="H533" i="2" s="1"/>
  <c r="C534" i="2"/>
  <c r="H534" i="2" s="1"/>
  <c r="C535" i="2"/>
  <c r="H535" i="2" s="1"/>
  <c r="C537" i="2"/>
  <c r="H537" i="2" s="1"/>
  <c r="C538" i="2"/>
  <c r="H538" i="2" s="1"/>
  <c r="C539" i="2"/>
  <c r="H539" i="2" s="1"/>
  <c r="C541" i="2"/>
  <c r="H541" i="2" s="1"/>
  <c r="C542" i="2"/>
  <c r="H542" i="2" s="1"/>
  <c r="C543" i="2"/>
  <c r="H543" i="2" s="1"/>
  <c r="C545" i="2"/>
  <c r="H545" i="2" s="1"/>
  <c r="C546" i="2"/>
  <c r="H546" i="2" s="1"/>
  <c r="C547" i="2"/>
  <c r="H547" i="2" s="1"/>
  <c r="C553" i="2"/>
  <c r="H553" i="2" s="1"/>
  <c r="C554" i="2"/>
  <c r="H554" i="2" s="1"/>
  <c r="C555" i="2"/>
  <c r="H555" i="2" s="1"/>
  <c r="C557" i="2"/>
  <c r="H557" i="2" s="1"/>
  <c r="C558" i="2"/>
  <c r="H558" i="2" s="1"/>
  <c r="C559" i="2"/>
  <c r="H559" i="2" s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C3" i="2"/>
  <c r="H3" i="2" s="1"/>
  <c r="C4" i="2"/>
  <c r="H4" i="2" s="1"/>
  <c r="B2" i="2"/>
  <c r="C2" i="2" s="1"/>
  <c r="H2" i="2" s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K7" i="1"/>
  <c r="K8" i="1"/>
  <c r="K138" i="1"/>
  <c r="J2" i="1"/>
  <c r="K2" i="1" s="1"/>
  <c r="J3" i="1"/>
  <c r="K3" i="1" s="1"/>
  <c r="J4" i="1"/>
  <c r="K4" i="1" s="1"/>
  <c r="J5" i="1"/>
  <c r="K5" i="1" s="1"/>
  <c r="J6" i="1"/>
  <c r="K6" i="1" s="1"/>
  <c r="J7" i="1"/>
  <c r="J8" i="1"/>
  <c r="J9" i="1"/>
  <c r="K9" i="1" s="1"/>
  <c r="J10" i="1"/>
  <c r="K10" i="1" s="1"/>
  <c r="J11" i="1"/>
  <c r="K11" i="1" s="1"/>
  <c r="J12" i="1"/>
  <c r="K12" i="1" s="1"/>
  <c r="J15" i="1"/>
  <c r="K15" i="1" s="1"/>
  <c r="J16" i="1"/>
  <c r="K16" i="1" s="1"/>
  <c r="J17" i="1"/>
  <c r="K17" i="1" s="1"/>
  <c r="J18" i="1"/>
  <c r="K18" i="1" s="1"/>
  <c r="J27" i="1"/>
  <c r="K27" i="1" s="1"/>
  <c r="J28" i="1"/>
  <c r="K28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8" i="1"/>
  <c r="K48" i="1" s="1"/>
  <c r="J50" i="1"/>
  <c r="K50" i="1" s="1"/>
  <c r="J51" i="1"/>
  <c r="K51" i="1" s="1"/>
  <c r="J52" i="1"/>
  <c r="K52" i="1" s="1"/>
  <c r="J53" i="1"/>
  <c r="K53" i="1" s="1"/>
  <c r="J54" i="1"/>
  <c r="K54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6" i="1"/>
  <c r="K86" i="1" s="1"/>
  <c r="J87" i="1"/>
  <c r="K87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90" i="1"/>
  <c r="K290" i="1" s="1"/>
  <c r="J291" i="1"/>
  <c r="K291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4" i="1"/>
  <c r="K304" i="1" s="1"/>
  <c r="J305" i="1"/>
  <c r="K305" i="1" s="1"/>
  <c r="J306" i="1"/>
  <c r="K306" i="1" s="1"/>
  <c r="J307" i="1"/>
  <c r="K307" i="1" s="1"/>
  <c r="J308" i="1"/>
  <c r="K308" i="1" s="1"/>
  <c r="J310" i="1"/>
  <c r="K310" i="1" s="1"/>
  <c r="J311" i="1"/>
  <c r="K311" i="1" s="1"/>
  <c r="J312" i="1"/>
  <c r="K312" i="1" s="1"/>
  <c r="J313" i="1"/>
  <c r="K313" i="1" s="1"/>
  <c r="J319" i="1"/>
  <c r="K319" i="1" s="1"/>
  <c r="J320" i="1"/>
  <c r="K320" i="1" s="1"/>
  <c r="J321" i="1"/>
  <c r="K321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10" i="1"/>
  <c r="K410" i="1" s="1"/>
  <c r="J411" i="1"/>
  <c r="K411" i="1" s="1"/>
  <c r="J412" i="1"/>
  <c r="K412" i="1" s="1"/>
  <c r="L2" i="1"/>
  <c r="L3" i="1"/>
  <c r="L4" i="1"/>
  <c r="L5" i="1"/>
  <c r="L6" i="1"/>
  <c r="L7" i="1"/>
  <c r="L8" i="1"/>
  <c r="L9" i="1"/>
  <c r="L10" i="1"/>
  <c r="L11" i="1"/>
  <c r="L12" i="1"/>
  <c r="L15" i="1"/>
  <c r="L16" i="1"/>
  <c r="L17" i="1"/>
  <c r="L18" i="1"/>
  <c r="L27" i="1"/>
  <c r="L28" i="1"/>
  <c r="L37" i="1"/>
  <c r="L38" i="1"/>
  <c r="L39" i="1"/>
  <c r="L40" i="1"/>
  <c r="L41" i="1"/>
  <c r="L42" i="1"/>
  <c r="L43" i="1"/>
  <c r="L44" i="1"/>
  <c r="L45" i="1"/>
  <c r="L48" i="1"/>
  <c r="L50" i="1"/>
  <c r="L51" i="1"/>
  <c r="L52" i="1"/>
  <c r="L53" i="1"/>
  <c r="L54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6" i="1"/>
  <c r="L87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93" i="1"/>
  <c r="L194" i="1"/>
  <c r="L195" i="1"/>
  <c r="L196" i="1"/>
  <c r="L197" i="1"/>
  <c r="L198" i="1"/>
  <c r="L200" i="1"/>
  <c r="L201" i="1"/>
  <c r="L202" i="1"/>
  <c r="L203" i="1"/>
  <c r="L204" i="1"/>
  <c r="L205" i="1"/>
  <c r="L206" i="1"/>
  <c r="L207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90" i="1"/>
  <c r="L291" i="1"/>
  <c r="L293" i="1"/>
  <c r="L294" i="1"/>
  <c r="L295" i="1"/>
  <c r="L296" i="1"/>
  <c r="L297" i="1"/>
  <c r="L298" i="1"/>
  <c r="L299" i="1"/>
  <c r="L300" i="1"/>
  <c r="L301" i="1"/>
  <c r="L302" i="1"/>
  <c r="L304" i="1"/>
  <c r="L305" i="1"/>
  <c r="L306" i="1"/>
  <c r="L307" i="1"/>
  <c r="L308" i="1"/>
  <c r="L310" i="1"/>
  <c r="L311" i="1"/>
  <c r="L312" i="1"/>
  <c r="L313" i="1"/>
  <c r="L319" i="1"/>
  <c r="L320" i="1"/>
  <c r="L321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2" i="1"/>
  <c r="L403" i="1"/>
  <c r="L404" i="1"/>
  <c r="L405" i="1"/>
  <c r="L406" i="1"/>
  <c r="L407" i="1"/>
  <c r="L408" i="1"/>
  <c r="L410" i="1"/>
  <c r="L411" i="1"/>
  <c r="L412" i="1"/>
  <c r="L208" i="1" l="1"/>
  <c r="J208" i="1"/>
  <c r="K208" i="1" s="1"/>
  <c r="J209" i="1"/>
  <c r="K209" i="1" s="1"/>
  <c r="L209" i="1"/>
  <c r="D323" i="1"/>
  <c r="D322" i="1"/>
  <c r="D318" i="1"/>
  <c r="D292" i="1"/>
  <c r="D88" i="1"/>
  <c r="D56" i="1"/>
  <c r="D55" i="1"/>
  <c r="D36" i="1"/>
  <c r="D35" i="1"/>
  <c r="D34" i="1"/>
  <c r="D33" i="1"/>
  <c r="D32" i="1"/>
  <c r="D31" i="1"/>
  <c r="D30" i="1"/>
  <c r="D29" i="1"/>
  <c r="D26" i="1"/>
  <c r="D25" i="1"/>
  <c r="D24" i="1"/>
  <c r="D23" i="1"/>
  <c r="D22" i="1"/>
  <c r="D21" i="1"/>
  <c r="D20" i="1"/>
  <c r="D19" i="1"/>
  <c r="D14" i="1"/>
  <c r="D13" i="1"/>
  <c r="L36" i="1" l="1"/>
  <c r="J36" i="1"/>
  <c r="K36" i="1" s="1"/>
  <c r="L189" i="1"/>
  <c r="J189" i="1"/>
  <c r="K189" i="1" s="1"/>
  <c r="L22" i="1"/>
  <c r="J22" i="1"/>
  <c r="K22" i="1" s="1"/>
  <c r="J55" i="1"/>
  <c r="K55" i="1" s="1"/>
  <c r="L55" i="1"/>
  <c r="L191" i="1"/>
  <c r="J191" i="1"/>
  <c r="K191" i="1" s="1"/>
  <c r="L288" i="1"/>
  <c r="J288" i="1"/>
  <c r="K288" i="1" s="1"/>
  <c r="L356" i="1"/>
  <c r="J356" i="1"/>
  <c r="K356" i="1" s="1"/>
  <c r="J186" i="1"/>
  <c r="K186" i="1" s="1"/>
  <c r="L186" i="1"/>
  <c r="J46" i="1"/>
  <c r="K46" i="1" s="1"/>
  <c r="L46" i="1"/>
  <c r="L355" i="1"/>
  <c r="J355" i="1"/>
  <c r="K355" i="1" s="1"/>
  <c r="L35" i="1"/>
  <c r="J35" i="1"/>
  <c r="K35" i="1" s="1"/>
  <c r="L353" i="1"/>
  <c r="J353" i="1"/>
  <c r="K353" i="1" s="1"/>
  <c r="L287" i="1"/>
  <c r="J287" i="1"/>
  <c r="K287" i="1" s="1"/>
  <c r="L357" i="1"/>
  <c r="J357" i="1"/>
  <c r="K357" i="1" s="1"/>
  <c r="J24" i="1"/>
  <c r="K24" i="1" s="1"/>
  <c r="L24" i="1"/>
  <c r="L84" i="1"/>
  <c r="J84" i="1"/>
  <c r="K84" i="1" s="1"/>
  <c r="J199" i="1"/>
  <c r="K199" i="1" s="1"/>
  <c r="L199" i="1"/>
  <c r="L292" i="1"/>
  <c r="J292" i="1"/>
  <c r="K292" i="1" s="1"/>
  <c r="L358" i="1"/>
  <c r="J358" i="1"/>
  <c r="K358" i="1" s="1"/>
  <c r="L284" i="1"/>
  <c r="J284" i="1"/>
  <c r="K284" i="1" s="1"/>
  <c r="J286" i="1"/>
  <c r="K286" i="1" s="1"/>
  <c r="L286" i="1"/>
  <c r="L85" i="1"/>
  <c r="J85" i="1"/>
  <c r="K85" i="1" s="1"/>
  <c r="L275" i="1"/>
  <c r="J275" i="1"/>
  <c r="K275" i="1" s="1"/>
  <c r="L303" i="1"/>
  <c r="J303" i="1"/>
  <c r="K303" i="1" s="1"/>
  <c r="J359" i="1"/>
  <c r="K359" i="1" s="1"/>
  <c r="L359" i="1"/>
  <c r="J283" i="1"/>
  <c r="K283" i="1" s="1"/>
  <c r="L283" i="1"/>
  <c r="J23" i="1"/>
  <c r="K23" i="1" s="1"/>
  <c r="L23" i="1"/>
  <c r="J88" i="1"/>
  <c r="K88" i="1" s="1"/>
  <c r="L88" i="1"/>
  <c r="L276" i="1"/>
  <c r="J276" i="1"/>
  <c r="K276" i="1" s="1"/>
  <c r="L309" i="1"/>
  <c r="J309" i="1"/>
  <c r="K309" i="1" s="1"/>
  <c r="J360" i="1"/>
  <c r="K360" i="1" s="1"/>
  <c r="L360" i="1"/>
  <c r="L14" i="1"/>
  <c r="J14" i="1"/>
  <c r="K14" i="1" s="1"/>
  <c r="L20" i="1"/>
  <c r="J20" i="1"/>
  <c r="K20" i="1" s="1"/>
  <c r="J56" i="1"/>
  <c r="K56" i="1" s="1"/>
  <c r="L56" i="1"/>
  <c r="J26" i="1"/>
  <c r="K26" i="1" s="1"/>
  <c r="L26" i="1"/>
  <c r="L29" i="1"/>
  <c r="J29" i="1"/>
  <c r="K29" i="1" s="1"/>
  <c r="J153" i="1"/>
  <c r="K153" i="1" s="1"/>
  <c r="L153" i="1"/>
  <c r="L277" i="1"/>
  <c r="J277" i="1"/>
  <c r="K277" i="1" s="1"/>
  <c r="J314" i="1"/>
  <c r="K314" i="1" s="1"/>
  <c r="L314" i="1"/>
  <c r="J401" i="1"/>
  <c r="K401" i="1" s="1"/>
  <c r="L401" i="1"/>
  <c r="L352" i="1"/>
  <c r="J352" i="1"/>
  <c r="K352" i="1" s="1"/>
  <c r="J409" i="1"/>
  <c r="K409" i="1" s="1"/>
  <c r="L409" i="1"/>
  <c r="J19" i="1"/>
  <c r="K19" i="1" s="1"/>
  <c r="L19" i="1"/>
  <c r="L47" i="1"/>
  <c r="J47" i="1"/>
  <c r="K47" i="1" s="1"/>
  <c r="J49" i="1"/>
  <c r="K49" i="1" s="1"/>
  <c r="L49" i="1"/>
  <c r="L278" i="1"/>
  <c r="J278" i="1"/>
  <c r="K278" i="1" s="1"/>
  <c r="J315" i="1"/>
  <c r="K315" i="1" s="1"/>
  <c r="L315" i="1"/>
  <c r="L31" i="1"/>
  <c r="J31" i="1"/>
  <c r="K31" i="1" s="1"/>
  <c r="L182" i="1"/>
  <c r="J182" i="1"/>
  <c r="K182" i="1" s="1"/>
  <c r="J279" i="1"/>
  <c r="K279" i="1" s="1"/>
  <c r="L279" i="1"/>
  <c r="L316" i="1"/>
  <c r="J316" i="1"/>
  <c r="K316" i="1" s="1"/>
  <c r="L13" i="1"/>
  <c r="J13" i="1"/>
  <c r="K13" i="1" s="1"/>
  <c r="L188" i="1"/>
  <c r="J188" i="1"/>
  <c r="K188" i="1" s="1"/>
  <c r="L190" i="1"/>
  <c r="J190" i="1"/>
  <c r="K190" i="1" s="1"/>
  <c r="J192" i="1"/>
  <c r="K192" i="1" s="1"/>
  <c r="L192" i="1"/>
  <c r="L30" i="1"/>
  <c r="J30" i="1"/>
  <c r="K30" i="1" s="1"/>
  <c r="J183" i="1"/>
  <c r="K183" i="1" s="1"/>
  <c r="L183" i="1"/>
  <c r="J280" i="1"/>
  <c r="K280" i="1" s="1"/>
  <c r="L280" i="1"/>
  <c r="L317" i="1"/>
  <c r="J317" i="1"/>
  <c r="K317" i="1" s="1"/>
  <c r="J323" i="1"/>
  <c r="K323" i="1" s="1"/>
  <c r="L323" i="1"/>
  <c r="L285" i="1"/>
  <c r="J285" i="1"/>
  <c r="K285" i="1" s="1"/>
  <c r="L21" i="1"/>
  <c r="J21" i="1"/>
  <c r="K21" i="1" s="1"/>
  <c r="J25" i="1"/>
  <c r="K25" i="1" s="1"/>
  <c r="L25" i="1"/>
  <c r="J154" i="1"/>
  <c r="K154" i="1" s="1"/>
  <c r="L154" i="1"/>
  <c r="J33" i="1"/>
  <c r="K33" i="1" s="1"/>
  <c r="L33" i="1"/>
  <c r="J281" i="1"/>
  <c r="K281" i="1" s="1"/>
  <c r="L281" i="1"/>
  <c r="L318" i="1"/>
  <c r="J318" i="1"/>
  <c r="K318" i="1" s="1"/>
  <c r="J187" i="1"/>
  <c r="K187" i="1" s="1"/>
  <c r="L187" i="1"/>
  <c r="L354" i="1"/>
  <c r="J354" i="1"/>
  <c r="K354" i="1" s="1"/>
  <c r="J289" i="1"/>
  <c r="K289" i="1" s="1"/>
  <c r="L289" i="1"/>
  <c r="L32" i="1"/>
  <c r="J32" i="1"/>
  <c r="K32" i="1" s="1"/>
  <c r="J184" i="1"/>
  <c r="K184" i="1" s="1"/>
  <c r="L184" i="1"/>
  <c r="L34" i="1"/>
  <c r="J34" i="1"/>
  <c r="K34" i="1" s="1"/>
  <c r="J185" i="1"/>
  <c r="K185" i="1" s="1"/>
  <c r="L185" i="1"/>
  <c r="J282" i="1"/>
  <c r="K282" i="1" s="1"/>
  <c r="L282" i="1"/>
  <c r="L322" i="1"/>
  <c r="J322" i="1"/>
  <c r="K322" i="1" s="1"/>
</calcChain>
</file>

<file path=xl/sharedStrings.xml><?xml version="1.0" encoding="utf-8"?>
<sst xmlns="http://schemas.openxmlformats.org/spreadsheetml/2006/main" count="4191" uniqueCount="2592">
  <si>
    <t>01834B</t>
  </si>
  <si>
    <t>0183A0</t>
  </si>
  <si>
    <t>0183A9</t>
  </si>
  <si>
    <t>0183B2</t>
  </si>
  <si>
    <t>0183BB</t>
  </si>
  <si>
    <t>0183C4</t>
  </si>
  <si>
    <t>0183CD</t>
  </si>
  <si>
    <t>0183D6</t>
  </si>
  <si>
    <t>0183DF</t>
  </si>
  <si>
    <t>0183EE</t>
  </si>
  <si>
    <t>01841B</t>
  </si>
  <si>
    <t>01843A</t>
  </si>
  <si>
    <t>01843F</t>
  </si>
  <si>
    <t>01844E</t>
  </si>
  <si>
    <t>0183F3</t>
  </si>
  <si>
    <t>0183F8</t>
  </si>
  <si>
    <t>01846D</t>
  </si>
  <si>
    <t>01847C</t>
  </si>
  <si>
    <t>01848B</t>
  </si>
  <si>
    <t>01849C</t>
  </si>
  <si>
    <t>0184AD</t>
  </si>
  <si>
    <t>0184B6</t>
  </si>
  <si>
    <t>0183FD</t>
  </si>
  <si>
    <t>0184BF</t>
  </si>
  <si>
    <t>01840C</t>
  </si>
  <si>
    <t>01851D</t>
  </si>
  <si>
    <t>01852F</t>
  </si>
  <si>
    <t>01853D</t>
  </si>
  <si>
    <t>018B29</t>
  </si>
  <si>
    <t>018B3A</t>
  </si>
  <si>
    <t>018B4B</t>
  </si>
  <si>
    <t>018B5C</t>
  </si>
  <si>
    <t>0185AC</t>
  </si>
  <si>
    <t>0185BD</t>
  </si>
  <si>
    <t>0185CE</t>
  </si>
  <si>
    <t>0185D7</t>
  </si>
  <si>
    <t>0185F9</t>
  </si>
  <si>
    <t>01860B</t>
  </si>
  <si>
    <t>01865D</t>
  </si>
  <si>
    <t>01866F</t>
  </si>
  <si>
    <t>01869A</t>
  </si>
  <si>
    <t>0186A3</t>
  </si>
  <si>
    <t>0186AC</t>
  </si>
  <si>
    <t>0186B5</t>
  </si>
  <si>
    <t>0186BE</t>
  </si>
  <si>
    <t>0186CF</t>
  </si>
  <si>
    <t>0186F1</t>
  </si>
  <si>
    <t>01870B</t>
  </si>
  <si>
    <t>01872B</t>
  </si>
  <si>
    <t>018B6D</t>
  </si>
  <si>
    <t>01876A</t>
  </si>
  <si>
    <t>01877B</t>
  </si>
  <si>
    <t>01878C</t>
  </si>
  <si>
    <t>01879D</t>
  </si>
  <si>
    <t>0187AE</t>
  </si>
  <si>
    <t>0187BF</t>
  </si>
  <si>
    <t>0187D0</t>
  </si>
  <si>
    <t>018B7A</t>
  </si>
  <si>
    <t>018B8B</t>
  </si>
  <si>
    <t>018B94</t>
  </si>
  <si>
    <t>018BA5</t>
  </si>
  <si>
    <t>018BAE</t>
  </si>
  <si>
    <t>018BB3</t>
  </si>
  <si>
    <t>0187FB</t>
  </si>
  <si>
    <t>0187EA</t>
  </si>
  <si>
    <t>0189C1</t>
  </si>
  <si>
    <t>018BC4</t>
  </si>
  <si>
    <t>01881E</t>
  </si>
  <si>
    <t>018C6F</t>
  </si>
  <si>
    <t>01885A</t>
  </si>
  <si>
    <t>018AD2</t>
  </si>
  <si>
    <t>018C2F</t>
  </si>
  <si>
    <t>01887B</t>
  </si>
  <si>
    <t>01888D</t>
  </si>
  <si>
    <t>01889F</t>
  </si>
  <si>
    <t>0188A8</t>
  </si>
  <si>
    <t>0188B1</t>
  </si>
  <si>
    <t>0188BA</t>
  </si>
  <si>
    <t>0188C3</t>
  </si>
  <si>
    <t>0188CC</t>
  </si>
  <si>
    <t>0188D5</t>
  </si>
  <si>
    <t>0188DE</t>
  </si>
  <si>
    <t>0188F0</t>
  </si>
  <si>
    <t>018E0C</t>
  </si>
  <si>
    <t>018E1D</t>
  </si>
  <si>
    <t>01890B</t>
  </si>
  <si>
    <t>01891E</t>
  </si>
  <si>
    <t>01894B</t>
  </si>
  <si>
    <t>01897B</t>
  </si>
  <si>
    <t>0189A2</t>
  </si>
  <si>
    <t>0189AF</t>
  </si>
  <si>
    <t>0189BC</t>
  </si>
  <si>
    <t>0188F9</t>
  </si>
  <si>
    <t>018BF5</t>
  </si>
  <si>
    <t>0189D2</t>
  </si>
  <si>
    <t>0189D7</t>
  </si>
  <si>
    <t>0189FA</t>
  </si>
  <si>
    <t>018A0B</t>
  </si>
  <si>
    <t>018A1C</t>
  </si>
  <si>
    <t>018A2D</t>
  </si>
  <si>
    <t>018A3E</t>
  </si>
  <si>
    <t>018A4F</t>
  </si>
  <si>
    <t>018A60</t>
  </si>
  <si>
    <t>018A71</t>
  </si>
  <si>
    <t>018A76</t>
  </si>
  <si>
    <t>018A7B</t>
  </si>
  <si>
    <t>0192FB</t>
  </si>
  <si>
    <t>018AB3</t>
  </si>
  <si>
    <t>018A84</t>
  </si>
  <si>
    <t>018A95</t>
  </si>
  <si>
    <t>018AA2</t>
  </si>
  <si>
    <t>018AC4</t>
  </si>
  <si>
    <t>018AC9</t>
  </si>
  <si>
    <t>018AD7</t>
  </si>
  <si>
    <t>018AE0</t>
  </si>
  <si>
    <t>018AE5</t>
  </si>
  <si>
    <t>018AEE</t>
  </si>
  <si>
    <t>018AF3</t>
  </si>
  <si>
    <t>018AF8</t>
  </si>
  <si>
    <t>018AFD</t>
  </si>
  <si>
    <t>018B02</t>
  </si>
  <si>
    <t>018B07</t>
  </si>
  <si>
    <t>018B10</t>
  </si>
  <si>
    <t>018B15</t>
  </si>
  <si>
    <t>018B1A</t>
  </si>
  <si>
    <t>018B1F</t>
  </si>
  <si>
    <t>018B24</t>
  </si>
  <si>
    <t>018FC6</t>
  </si>
  <si>
    <t>018FCF</t>
  </si>
  <si>
    <t>018FD8</t>
  </si>
  <si>
    <t>018FE1</t>
  </si>
  <si>
    <t>018FEA</t>
  </si>
  <si>
    <t>018BCD</t>
  </si>
  <si>
    <t>018BD2</t>
  </si>
  <si>
    <t>018BD7</t>
  </si>
  <si>
    <t>018BDC</t>
  </si>
  <si>
    <t>018BE1</t>
  </si>
  <si>
    <t>018BE6</t>
  </si>
  <si>
    <t>018BEB</t>
  </si>
  <si>
    <t>018BF0</t>
  </si>
  <si>
    <t>018C06</t>
  </si>
  <si>
    <t>018C0F</t>
  </si>
  <si>
    <t>018C18</t>
  </si>
  <si>
    <t>018C21</t>
  </si>
  <si>
    <t>01859E</t>
  </si>
  <si>
    <t>0185A7</t>
  </si>
  <si>
    <t>018CEB</t>
  </si>
  <si>
    <t>018F40</t>
  </si>
  <si>
    <t>01902E</t>
  </si>
  <si>
    <t>018D12</t>
  </si>
  <si>
    <t>018D17</t>
  </si>
  <si>
    <t>018D1C</t>
  </si>
  <si>
    <t>018C3C</t>
  </si>
  <si>
    <t>018C45</t>
  </si>
  <si>
    <t>018C4A</t>
  </si>
  <si>
    <t>018C4F</t>
  </si>
  <si>
    <t>018C54</t>
  </si>
  <si>
    <t>018C5D</t>
  </si>
  <si>
    <t>018C66</t>
  </si>
  <si>
    <t>018C78</t>
  </si>
  <si>
    <t>018C89</t>
  </si>
  <si>
    <t>018CB3</t>
  </si>
  <si>
    <t>018CBC</t>
  </si>
  <si>
    <t>018CDD</t>
  </si>
  <si>
    <t>018CE6</t>
  </si>
  <si>
    <t>018CF5</t>
  </si>
  <si>
    <t>018CFA</t>
  </si>
  <si>
    <t>018D03</t>
  </si>
  <si>
    <t>018D08</t>
  </si>
  <si>
    <t>018D0D</t>
  </si>
  <si>
    <t>018D25</t>
  </si>
  <si>
    <t>018D36</t>
  </si>
  <si>
    <t>018D47</t>
  </si>
  <si>
    <t>018D4C</t>
  </si>
  <si>
    <t>018D51</t>
  </si>
  <si>
    <t>018D56</t>
  </si>
  <si>
    <t>018D5B</t>
  </si>
  <si>
    <t>018D64</t>
  </si>
  <si>
    <t>018D6D</t>
  </si>
  <si>
    <t>018D72</t>
  </si>
  <si>
    <t>018D77</t>
  </si>
  <si>
    <t>018C2A</t>
  </si>
  <si>
    <t>018DBA</t>
  </si>
  <si>
    <t>018DE3</t>
  </si>
  <si>
    <t>018D80</t>
  </si>
  <si>
    <t>018D9D</t>
  </si>
  <si>
    <t>018F70</t>
  </si>
  <si>
    <t>018F75</t>
  </si>
  <si>
    <t>018E2E</t>
  </si>
  <si>
    <t>018E6A</t>
  </si>
  <si>
    <t>018E6F</t>
  </si>
  <si>
    <t>018E7D</t>
  </si>
  <si>
    <t>018E8C</t>
  </si>
  <si>
    <t>018F09</t>
  </si>
  <si>
    <t>018EFA</t>
  </si>
  <si>
    <t>018F1D</t>
  </si>
  <si>
    <t>018EFF</t>
  </si>
  <si>
    <t>018F22</t>
  </si>
  <si>
    <t>018F27</t>
  </si>
  <si>
    <t>018EF5</t>
  </si>
  <si>
    <t>018F04</t>
  </si>
  <si>
    <t>018F0E</t>
  </si>
  <si>
    <t>018F2C</t>
  </si>
  <si>
    <t>018F31</t>
  </si>
  <si>
    <t>018F36</t>
  </si>
  <si>
    <t>018F3B</t>
  </si>
  <si>
    <t>018F13</t>
  </si>
  <si>
    <t>018F18</t>
  </si>
  <si>
    <t>018F5C</t>
  </si>
  <si>
    <t>018F45</t>
  </si>
  <si>
    <t>018F4A</t>
  </si>
  <si>
    <t>018F61</t>
  </si>
  <si>
    <t>018F66</t>
  </si>
  <si>
    <t>018EAA</t>
  </si>
  <si>
    <t>018EB3</t>
  </si>
  <si>
    <t>018EBC</t>
  </si>
  <si>
    <t>018EC5</t>
  </si>
  <si>
    <t>018ECE</t>
  </si>
  <si>
    <t>018E9B</t>
  </si>
  <si>
    <t>018F6B</t>
  </si>
  <si>
    <t>018CAA</t>
  </si>
  <si>
    <t>0192CF</t>
  </si>
  <si>
    <t>0192D4</t>
  </si>
  <si>
    <t>01903F</t>
  </si>
  <si>
    <t>018F53</t>
  </si>
  <si>
    <t>0192D9</t>
  </si>
  <si>
    <t>0192EA</t>
  </si>
  <si>
    <t>018CF0</t>
  </si>
  <si>
    <t>018F9A</t>
  </si>
  <si>
    <t>018FA3</t>
  </si>
  <si>
    <t>018FAC</t>
  </si>
  <si>
    <t>018FB9</t>
  </si>
  <si>
    <t>018ED7</t>
  </si>
  <si>
    <t>018EE4</t>
  </si>
  <si>
    <t>018EA0</t>
  </si>
  <si>
    <t>018EA5</t>
  </si>
  <si>
    <t>01926B</t>
  </si>
  <si>
    <t>01927A</t>
  </si>
  <si>
    <t>01927F</t>
  </si>
  <si>
    <t>01928E</t>
  </si>
  <si>
    <t>01929D</t>
  </si>
  <si>
    <t>0192A2</t>
  </si>
  <si>
    <t>0192A7</t>
  </si>
  <si>
    <t>0192AC</t>
  </si>
  <si>
    <t>0192B1</t>
  </si>
  <si>
    <t>0192B6</t>
  </si>
  <si>
    <t>0192BB</t>
  </si>
  <si>
    <t>0192C0</t>
  </si>
  <si>
    <t>0192CA</t>
  </si>
  <si>
    <t>0192C5</t>
  </si>
  <si>
    <t>01905B</t>
  </si>
  <si>
    <t>01907C</t>
  </si>
  <si>
    <t>01908F</t>
  </si>
  <si>
    <t>0190A5</t>
  </si>
  <si>
    <t>0190B2</t>
  </si>
  <si>
    <t>0190C3</t>
  </si>
  <si>
    <t>0190D4</t>
  </si>
  <si>
    <t>0190DD</t>
  </si>
  <si>
    <t>0190EB</t>
  </si>
  <si>
    <t>0190F0</t>
  </si>
  <si>
    <t>0190F5</t>
  </si>
  <si>
    <t>01913B</t>
  </si>
  <si>
    <t>01914E</t>
  </si>
  <si>
    <t>01915C</t>
  </si>
  <si>
    <t>01917F</t>
  </si>
  <si>
    <t>0191B9</t>
  </si>
  <si>
    <t>0191C6</t>
  </si>
  <si>
    <t>0191D3</t>
  </si>
  <si>
    <t>0191D8</t>
  </si>
  <si>
    <t>0191DD</t>
  </si>
  <si>
    <t>0191EA</t>
  </si>
  <si>
    <t>0191F7</t>
  </si>
  <si>
    <t>0191FC</t>
  </si>
  <si>
    <t>01920A</t>
  </si>
  <si>
    <t>01922B</t>
  </si>
  <si>
    <t>01923A</t>
  </si>
  <si>
    <t>01923F</t>
  </si>
  <si>
    <t>01924E</t>
  </si>
  <si>
    <t>01925D</t>
  </si>
  <si>
    <t>018346</t>
  </si>
  <si>
    <t>018350</t>
  </si>
  <si>
    <t>018355</t>
  </si>
  <si>
    <t>018376</t>
  </si>
  <si>
    <t>018397</t>
  </si>
  <si>
    <t>0183E4</t>
  </si>
  <si>
    <t>0183E9</t>
  </si>
  <si>
    <t>018428</t>
  </si>
  <si>
    <t>018435</t>
  </si>
  <si>
    <t>018444</t>
  </si>
  <si>
    <t>018449</t>
  </si>
  <si>
    <t>018453</t>
  </si>
  <si>
    <t>018460</t>
  </si>
  <si>
    <t>018472</t>
  </si>
  <si>
    <t>018477</t>
  </si>
  <si>
    <t>018481</t>
  </si>
  <si>
    <t>018486</t>
  </si>
  <si>
    <t>018563</t>
  </si>
  <si>
    <t>018402</t>
  </si>
  <si>
    <t>018510</t>
  </si>
  <si>
    <t>018407</t>
  </si>
  <si>
    <t>018526</t>
  </si>
  <si>
    <t>018584</t>
  </si>
  <si>
    <t>018591</t>
  </si>
  <si>
    <t>018538</t>
  </si>
  <si>
    <t>018411</t>
  </si>
  <si>
    <t>018416</t>
  </si>
  <si>
    <t>018542</t>
  </si>
  <si>
    <t>0185E0</t>
  </si>
  <si>
    <t>018602</t>
  </si>
  <si>
    <t>018634</t>
  </si>
  <si>
    <t>018666</t>
  </si>
  <si>
    <t>018680</t>
  </si>
  <si>
    <t>018691</t>
  </si>
  <si>
    <t>0186E0</t>
  </si>
  <si>
    <t>018702</t>
  </si>
  <si>
    <t>018714</t>
  </si>
  <si>
    <t>018719</t>
  </si>
  <si>
    <t>018722</t>
  </si>
  <si>
    <t>018738</t>
  </si>
  <si>
    <t>018751</t>
  </si>
  <si>
    <t>0187E1</t>
  </si>
  <si>
    <t>018808</t>
  </si>
  <si>
    <t>018815</t>
  </si>
  <si>
    <t>018827</t>
  </si>
  <si>
    <t>019029</t>
  </si>
  <si>
    <t>018839</t>
  </si>
  <si>
    <t>018884</t>
  </si>
  <si>
    <t>018896</t>
  </si>
  <si>
    <t>0188E7</t>
  </si>
  <si>
    <t>018902</t>
  </si>
  <si>
    <t>018914</t>
  </si>
  <si>
    <t>018919</t>
  </si>
  <si>
    <t>018927</t>
  </si>
  <si>
    <t>018930</t>
  </si>
  <si>
    <t>018939</t>
  </si>
  <si>
    <t>018942</t>
  </si>
  <si>
    <t>018954</t>
  </si>
  <si>
    <t>018965</t>
  </si>
  <si>
    <t>018976</t>
  </si>
  <si>
    <t>018980</t>
  </si>
  <si>
    <t>018991</t>
  </si>
  <si>
    <t>0189E0</t>
  </si>
  <si>
    <t>0189E9</t>
  </si>
  <si>
    <t>019007</t>
  </si>
  <si>
    <t>019024</t>
  </si>
  <si>
    <t>018830</t>
  </si>
  <si>
    <t>018E37</t>
  </si>
  <si>
    <t>018E40</t>
  </si>
  <si>
    <t>018E49</t>
  </si>
  <si>
    <t>018E52</t>
  </si>
  <si>
    <t>018E57</t>
  </si>
  <si>
    <t>018E60</t>
  </si>
  <si>
    <t>018E65</t>
  </si>
  <si>
    <t>018E74</t>
  </si>
  <si>
    <t>018E82</t>
  </si>
  <si>
    <t>018E87</t>
  </si>
  <si>
    <t>018E91</t>
  </si>
  <si>
    <t>019044</t>
  </si>
  <si>
    <t>018E96</t>
  </si>
  <si>
    <t>019266</t>
  </si>
  <si>
    <t>019270</t>
  </si>
  <si>
    <t>019275</t>
  </si>
  <si>
    <t>019284</t>
  </si>
  <si>
    <t>019289</t>
  </si>
  <si>
    <t>019293</t>
  </si>
  <si>
    <t>019298</t>
  </si>
  <si>
    <t>019049</t>
  </si>
  <si>
    <t>019052</t>
  </si>
  <si>
    <t>019060</t>
  </si>
  <si>
    <t>019069</t>
  </si>
  <si>
    <t>019072</t>
  </si>
  <si>
    <t>019077</t>
  </si>
  <si>
    <t>019081</t>
  </si>
  <si>
    <t>019086</t>
  </si>
  <si>
    <t>019098</t>
  </si>
  <si>
    <t>0190E6</t>
  </si>
  <si>
    <t>019106</t>
  </si>
  <si>
    <t>019117</t>
  </si>
  <si>
    <t>019120</t>
  </si>
  <si>
    <t>019129</t>
  </si>
  <si>
    <t>019132</t>
  </si>
  <si>
    <t>019140</t>
  </si>
  <si>
    <t>019149</t>
  </si>
  <si>
    <t>019153</t>
  </si>
  <si>
    <t>019161</t>
  </si>
  <si>
    <t>019166</t>
  </si>
  <si>
    <t>019198</t>
  </si>
  <si>
    <t>019201</t>
  </si>
  <si>
    <t>019230</t>
  </si>
  <si>
    <t>019235</t>
  </si>
  <si>
    <t>019244</t>
  </si>
  <si>
    <t>019249</t>
  </si>
  <si>
    <t>019253</t>
  </si>
  <si>
    <t>019258</t>
  </si>
  <si>
    <t>filepos</t>
  </si>
  <si>
    <t>id</t>
  </si>
  <si>
    <t>idh</t>
  </si>
  <si>
    <t>name</t>
  </si>
  <si>
    <t>comment</t>
  </si>
  <si>
    <t>Dummy</t>
  </si>
  <si>
    <t>firstchr</t>
  </si>
  <si>
    <t>OldTitle_A</t>
  </si>
  <si>
    <t>Player_A</t>
  </si>
  <si>
    <t>Player_J</t>
  </si>
  <si>
    <t>Player_H</t>
  </si>
  <si>
    <t>Player_G</t>
  </si>
  <si>
    <t>Player_I</t>
  </si>
  <si>
    <t>Player_C</t>
  </si>
  <si>
    <t>Player_D</t>
  </si>
  <si>
    <t>Player_K</t>
  </si>
  <si>
    <t>Player_B</t>
  </si>
  <si>
    <t>Player_E</t>
  </si>
  <si>
    <t>Player_F</t>
  </si>
  <si>
    <t>Player_L</t>
  </si>
  <si>
    <t>PlayerTravel_A</t>
  </si>
  <si>
    <t>Springit_A</t>
  </si>
  <si>
    <t>Springit_B</t>
  </si>
  <si>
    <t>ZenChan</t>
  </si>
  <si>
    <t>Monsta</t>
  </si>
  <si>
    <t>Needler</t>
  </si>
  <si>
    <t>Snagger</t>
  </si>
  <si>
    <t>Banebou</t>
  </si>
  <si>
    <t>Blobby</t>
  </si>
  <si>
    <t>Pulpul</t>
  </si>
  <si>
    <t>Invader</t>
  </si>
  <si>
    <t>HeitaiKun</t>
  </si>
  <si>
    <t>CarryHeli</t>
  </si>
  <si>
    <t>Flarion</t>
  </si>
  <si>
    <t>Mantichar</t>
  </si>
  <si>
    <t>RoboZen_A</t>
  </si>
  <si>
    <t>Kirikabun</t>
  </si>
  <si>
    <t>Twizzer</t>
  </si>
  <si>
    <t>Drunk_A</t>
  </si>
  <si>
    <t>DOH</t>
  </si>
  <si>
    <t>Drunk_B</t>
  </si>
  <si>
    <t>Chucker</t>
  </si>
  <si>
    <t>Rounder</t>
  </si>
  <si>
    <t>Ruckus_A</t>
  </si>
  <si>
    <t>RoboZen_B</t>
  </si>
  <si>
    <t>GameOver</t>
  </si>
  <si>
    <t>Thunder</t>
  </si>
  <si>
    <t>SkullBrothers</t>
  </si>
  <si>
    <t>MadMonkey</t>
  </si>
  <si>
    <t>Roc_A</t>
  </si>
  <si>
    <t>Roc_B</t>
  </si>
  <si>
    <t>SuperDrunk</t>
  </si>
  <si>
    <t>FinalSkull_A</t>
  </si>
  <si>
    <t>FinalSkull_B</t>
  </si>
  <si>
    <t>Trash</t>
  </si>
  <si>
    <t>Fire</t>
  </si>
  <si>
    <t>Flood</t>
  </si>
  <si>
    <t>Snow</t>
  </si>
  <si>
    <t>Wind</t>
  </si>
  <si>
    <t>Star</t>
  </si>
  <si>
    <t>Items</t>
  </si>
  <si>
    <t>Player_O</t>
  </si>
  <si>
    <t>TallFont_A</t>
  </si>
  <si>
    <t>TallFont_B</t>
  </si>
  <si>
    <t>EndingActors_A</t>
  </si>
  <si>
    <t>EndingActors_B</t>
  </si>
  <si>
    <t>BonusBall_A</t>
  </si>
  <si>
    <t>IntroActors_A</t>
  </si>
  <si>
    <t>IntroActors_B</t>
  </si>
  <si>
    <t>Barcelon_A</t>
  </si>
  <si>
    <t>Barcelon_B</t>
  </si>
  <si>
    <t>BigReward_B</t>
  </si>
  <si>
    <t>BigReward_A</t>
  </si>
  <si>
    <t>Player L</t>
  </si>
  <si>
    <t>Player R</t>
  </si>
  <si>
    <t>Walk L</t>
  </si>
  <si>
    <t>Walk R</t>
  </si>
  <si>
    <t>Jump L</t>
  </si>
  <si>
    <t>Jump R</t>
  </si>
  <si>
    <t>Fall L</t>
  </si>
  <si>
    <t>Fall R</t>
  </si>
  <si>
    <t>Hurt L</t>
  </si>
  <si>
    <t>Hurt R</t>
  </si>
  <si>
    <t>Inhale L</t>
  </si>
  <si>
    <t>Inhale R</t>
  </si>
  <si>
    <t>Inflate L</t>
  </si>
  <si>
    <t>Inflate R</t>
  </si>
  <si>
    <t>Start float L</t>
  </si>
  <si>
    <t>Start float R</t>
  </si>
  <si>
    <t>Float L</t>
  </si>
  <si>
    <t>Float R</t>
  </si>
  <si>
    <t>Adventure start in bubble</t>
  </si>
  <si>
    <t>Hurt R?</t>
  </si>
  <si>
    <t>Die</t>
  </si>
  <si>
    <t>Win</t>
  </si>
  <si>
    <t>Inflated L</t>
  </si>
  <si>
    <t>Inflated R</t>
  </si>
  <si>
    <t>Bubble pop</t>
  </si>
  <si>
    <t>Hurt L?</t>
  </si>
  <si>
    <t>Weak bubble</t>
  </si>
  <si>
    <t>Double bubble</t>
  </si>
  <si>
    <t>Triple bubble</t>
  </si>
  <si>
    <t>Shoot L</t>
  </si>
  <si>
    <t>Shoot R</t>
  </si>
  <si>
    <t>Rotate on fan counterclockwise</t>
  </si>
  <si>
    <t>Rotate on fan clockwise</t>
  </si>
  <si>
    <t>Springit R</t>
  </si>
  <si>
    <t>Springit top R</t>
  </si>
  <si>
    <t>Monsta R</t>
  </si>
  <si>
    <t>Springit L</t>
  </si>
  <si>
    <t>Springit top L</t>
  </si>
  <si>
    <t>ZenChan L</t>
  </si>
  <si>
    <t>ZenChan R</t>
  </si>
  <si>
    <t>Monsta L</t>
  </si>
  <si>
    <t>Snagger L</t>
  </si>
  <si>
    <t>Blobby L</t>
  </si>
  <si>
    <t>HeitaiKun L</t>
  </si>
  <si>
    <t>Snagger R</t>
  </si>
  <si>
    <t>Blobby R</t>
  </si>
  <si>
    <t>Banebou L (long durations)</t>
  </si>
  <si>
    <t>Banebou R (long durations)</t>
  </si>
  <si>
    <t>CarryHeli L</t>
  </si>
  <si>
    <t>Mantichar L</t>
  </si>
  <si>
    <t>HeitaiKun R</t>
  </si>
  <si>
    <t>CarryHeli R</t>
  </si>
  <si>
    <t>Mantichar R</t>
  </si>
  <si>
    <t>RoboZen L</t>
  </si>
  <si>
    <t>RoboZen R</t>
  </si>
  <si>
    <t>??? L</t>
  </si>
  <si>
    <t>??? R</t>
  </si>
  <si>
    <t>Flutterfly</t>
  </si>
  <si>
    <t>Drunk L</t>
  </si>
  <si>
    <t>Drunk R</t>
  </si>
  <si>
    <t>Springit Explosion</t>
  </si>
  <si>
    <t>ZenChan trapped</t>
  </si>
  <si>
    <t>Banebou trapped</t>
  </si>
  <si>
    <t>Blobby trapped</t>
  </si>
  <si>
    <t>Pulpul trapped</t>
  </si>
  <si>
    <t>Needler trapped</t>
  </si>
  <si>
    <t>Invader trapped</t>
  </si>
  <si>
    <t>Monsta trapped</t>
  </si>
  <si>
    <t>HeitaiKun trapped</t>
  </si>
  <si>
    <t>Springit reveal R</t>
  </si>
  <si>
    <t>Springit top reveal R</t>
  </si>
  <si>
    <t>Springit reveal L</t>
  </si>
  <si>
    <t>Springit top reveal L</t>
  </si>
  <si>
    <t>DOH projectile spinning</t>
  </si>
  <si>
    <t>DOH projectile idle</t>
  </si>
  <si>
    <t>Drunk trapped</t>
  </si>
  <si>
    <t>Flutterfly trapped</t>
  </si>
  <si>
    <t>Ghost Monsta L</t>
  </si>
  <si>
    <t>Ghost Monsta R</t>
  </si>
  <si>
    <t>Ghost Monsta reveal</t>
  </si>
  <si>
    <t>Chucker trapped</t>
  </si>
  <si>
    <t>Rounder trapped</t>
  </si>
  <si>
    <t>Snagger attack L</t>
  </si>
  <si>
    <t>Snagger attack R</t>
  </si>
  <si>
    <t>Invader beam hit</t>
  </si>
  <si>
    <t>Blobby ceil L</t>
  </si>
  <si>
    <t>Blobby ceil R</t>
  </si>
  <si>
    <t>Blobby up L</t>
  </si>
  <si>
    <t>Blobby up R</t>
  </si>
  <si>
    <t>Blobby up over L</t>
  </si>
  <si>
    <t>Blobby up over R</t>
  </si>
  <si>
    <t>Blobby down under L</t>
  </si>
  <si>
    <t>Blobby down under R</t>
  </si>
  <si>
    <t>Blobby fly down L</t>
  </si>
  <si>
    <t>Blobby fly down R</t>
  </si>
  <si>
    <t>Blobby down R (right side)</t>
  </si>
  <si>
    <t>Blobby down L (left side)</t>
  </si>
  <si>
    <t>Blobby fly up L</t>
  </si>
  <si>
    <t>Blobby fly up R</t>
  </si>
  <si>
    <t>CarryHeli exit L</t>
  </si>
  <si>
    <t>CarryHeli exit R</t>
  </si>
  <si>
    <t>HeitaiKun helmetless L</t>
  </si>
  <si>
    <t>HeitaiKun helmetless R</t>
  </si>
  <si>
    <t>HeitaiKun helmet L</t>
  </si>
  <si>
    <t>HeitaiKun helmet R</t>
  </si>
  <si>
    <t>CarryHeli open L</t>
  </si>
  <si>
    <t>CarryHeli open R</t>
  </si>
  <si>
    <t>Flarion small</t>
  </si>
  <si>
    <t>Flarion smaller</t>
  </si>
  <si>
    <t>Flarion shrunk</t>
  </si>
  <si>
    <t>Flarion smallest</t>
  </si>
  <si>
    <t>Mantichar angry L</t>
  </si>
  <si>
    <t>Mantichar angry R</t>
  </si>
  <si>
    <t>RoboZen shoot L</t>
  </si>
  <si>
    <t>RoboZen shoot R</t>
  </si>
  <si>
    <t>RoboZen winding L</t>
  </si>
  <si>
    <t>RoboZen winding R</t>
  </si>
  <si>
    <t>???</t>
  </si>
  <si>
    <t>Kirikabun blink</t>
  </si>
  <si>
    <t>Pulpul blink</t>
  </si>
  <si>
    <t>DOH popped</t>
  </si>
  <si>
    <t>Twizzer spin</t>
  </si>
  <si>
    <t>Drunk throw L</t>
  </si>
  <si>
    <t>Drunk throw R</t>
  </si>
  <si>
    <t>ZenChan popped</t>
  </si>
  <si>
    <t>Monsta popped</t>
  </si>
  <si>
    <t>Needler popped</t>
  </si>
  <si>
    <t>Banebou popped</t>
  </si>
  <si>
    <t>Blobby popped</t>
  </si>
  <si>
    <t>Pulpul popped</t>
  </si>
  <si>
    <t>Invader popped</t>
  </si>
  <si>
    <t>HeitaiKun popped</t>
  </si>
  <si>
    <t>CarryHeli die L</t>
  </si>
  <si>
    <t>CarryHeli die R</t>
  </si>
  <si>
    <t>Mantichar die</t>
  </si>
  <si>
    <t>Ruckus die</t>
  </si>
  <si>
    <t>Flutterfly popped</t>
  </si>
  <si>
    <t>Twizzer die</t>
  </si>
  <si>
    <t>Drunk popped</t>
  </si>
  <si>
    <t>Needler syringe</t>
  </si>
  <si>
    <t>Invader beam</t>
  </si>
  <si>
    <t>HeitaiKun parachuting</t>
  </si>
  <si>
    <t>HeitaiKun parachute landing</t>
  </si>
  <si>
    <t>Flarion projectile</t>
  </si>
  <si>
    <t>Chucker L</t>
  </si>
  <si>
    <t>Chucker R</t>
  </si>
  <si>
    <t>Chucker small L</t>
  </si>
  <si>
    <t>Chucker small R</t>
  </si>
  <si>
    <t>Chucker shoot L</t>
  </si>
  <si>
    <t>Chucker shoot R</t>
  </si>
  <si>
    <t>DOH Top</t>
  </si>
  <si>
    <t>DOH Face</t>
  </si>
  <si>
    <t>DOH Mouth</t>
  </si>
  <si>
    <t>DOH Body</t>
  </si>
  <si>
    <t>DOH Mouth open</t>
  </si>
  <si>
    <t>DOH Body hands raised</t>
  </si>
  <si>
    <t>Ruckus L</t>
  </si>
  <si>
    <t>Ruckus R</t>
  </si>
  <si>
    <t>Player with button</t>
  </si>
  <si>
    <t>Player continue chosen</t>
  </si>
  <si>
    <t>Rounder reward</t>
  </si>
  <si>
    <t>Needler hatless</t>
  </si>
  <si>
    <t>Spike enemy</t>
  </si>
  <si>
    <t>Chucker popped</t>
  </si>
  <si>
    <t>Skull fire R</t>
  </si>
  <si>
    <t>Skull R</t>
  </si>
  <si>
    <t>Burning Skull R</t>
  </si>
  <si>
    <t>Mad Monkey</t>
  </si>
  <si>
    <t>Mad Monkey jump</t>
  </si>
  <si>
    <t>Mad Monkey jump prep</t>
  </si>
  <si>
    <t>Mad Monkey die</t>
  </si>
  <si>
    <t>Rounder fall</t>
  </si>
  <si>
    <t>Rounder hang</t>
  </si>
  <si>
    <t>Rounder trapped alt</t>
  </si>
  <si>
    <t>Rounder popped</t>
  </si>
  <si>
    <t>FinalSkull L</t>
  </si>
  <si>
    <t>Roc</t>
  </si>
  <si>
    <t>Crazy Roc</t>
  </si>
  <si>
    <t>Roc shoot</t>
  </si>
  <si>
    <t>Crazy Roc shoot</t>
  </si>
  <si>
    <t>Roc big lightning</t>
  </si>
  <si>
    <t>Skull fire L</t>
  </si>
  <si>
    <t>Skull L</t>
  </si>
  <si>
    <t>Burning Skull L</t>
  </si>
  <si>
    <t>Skull target</t>
  </si>
  <si>
    <t>Skull heart</t>
  </si>
  <si>
    <t>SuperDrunk L</t>
  </si>
  <si>
    <t>SuperDrunk R</t>
  </si>
  <si>
    <t>SuperDrunk Orb</t>
  </si>
  <si>
    <t>FinalSkull R</t>
  </si>
  <si>
    <t>FinalSkull jump L</t>
  </si>
  <si>
    <t>FinalSkull jump R</t>
  </si>
  <si>
    <t>FinalSkull Die</t>
  </si>
  <si>
    <t>Ruckus bomb</t>
  </si>
  <si>
    <t>Player stuck on Needler L</t>
  </si>
  <si>
    <t>Player stuck on Needler R</t>
  </si>
  <si>
    <t>Trash fall</t>
  </si>
  <si>
    <t>Thunder bubble</t>
  </si>
  <si>
    <t>Fire bubble</t>
  </si>
  <si>
    <t>Flood bubble</t>
  </si>
  <si>
    <t>Snow bubble</t>
  </si>
  <si>
    <t>Wind bubble</t>
  </si>
  <si>
    <t>Star bubble</t>
  </si>
  <si>
    <t>Flood down</t>
  </si>
  <si>
    <t>Snow release</t>
  </si>
  <si>
    <t>Thunder bottle</t>
  </si>
  <si>
    <t>Star bottle</t>
  </si>
  <si>
    <t>Snow bottle</t>
  </si>
  <si>
    <t>4 flames or invalid</t>
  </si>
  <si>
    <t>Trash fall alt</t>
  </si>
  <si>
    <t>2 flames</t>
  </si>
  <si>
    <t>3 flames</t>
  </si>
  <si>
    <t>Flood horizontal</t>
  </si>
  <si>
    <t>Wind bottle</t>
  </si>
  <si>
    <t>Roc die</t>
  </si>
  <si>
    <t>Player small L</t>
  </si>
  <si>
    <t>Player small R</t>
  </si>
  <si>
    <t>Chucker rock hit</t>
  </si>
  <si>
    <t>Player small walk L</t>
  </si>
  <si>
    <t>Player small walk R</t>
  </si>
  <si>
    <t>Chucker rock hit alt</t>
  </si>
  <si>
    <t>Roc small lightning</t>
  </si>
  <si>
    <t>Snow spread</t>
  </si>
  <si>
    <t>Snow fall</t>
  </si>
  <si>
    <t>ROUND</t>
  </si>
  <si>
    <t>CLEAR</t>
  </si>
  <si>
    <t>BONUS</t>
  </si>
  <si>
    <t>GAME</t>
  </si>
  <si>
    <t>NO</t>
  </si>
  <si>
    <t>PAUSE</t>
  </si>
  <si>
    <t>THE END</t>
  </si>
  <si>
    <t>PLAYER</t>
  </si>
  <si>
    <t>10000 alt</t>
  </si>
  <si>
    <t>Final boss Skel Monsta L</t>
  </si>
  <si>
    <t>Final boss Skel Monsta R</t>
  </si>
  <si>
    <t>Final boss Skel Monsta appear?</t>
  </si>
  <si>
    <t>Final boss Skel Monsta disappear?</t>
  </si>
  <si>
    <t>Snagger die</t>
  </si>
  <si>
    <t>Bonus ball</t>
  </si>
  <si>
    <t>Bonus head</t>
  </si>
  <si>
    <t>Bonus hand up-right</t>
  </si>
  <si>
    <t>Intro Cubby sit</t>
  </si>
  <si>
    <t>Intro Judy sit</t>
  </si>
  <si>
    <t>Intro heart</t>
  </si>
  <si>
    <t>Fairy slow fly L</t>
  </si>
  <si>
    <t>Fairy slow fly R</t>
  </si>
  <si>
    <t>Bonus hand fast up-right</t>
  </si>
  <si>
    <t>Bonus hand fast up-left</t>
  </si>
  <si>
    <t>Bonus hand fast down-right</t>
  </si>
  <si>
    <t>Bonus hand fast down-left</t>
  </si>
  <si>
    <t>Intro Skull fly L</t>
  </si>
  <si>
    <t>Intro Drunks hiding</t>
  </si>
  <si>
    <t>Intro Cubby float</t>
  </si>
  <si>
    <t>Intro Judy trapped</t>
  </si>
  <si>
    <t>Intro Judy help!</t>
  </si>
  <si>
    <t>Ending Cubby L alt</t>
  </si>
  <si>
    <t>Ending Judy L alt</t>
  </si>
  <si>
    <t>Intro Drunks walk L</t>
  </si>
  <si>
    <t>Intro Drunks walk R</t>
  </si>
  <si>
    <t>Intro player walk L</t>
  </si>
  <si>
    <t>Barcelon L</t>
  </si>
  <si>
    <t>Barcelon R</t>
  </si>
  <si>
    <t>Barcelon cry L</t>
  </si>
  <si>
    <t>Barcelon jump L (unused?)</t>
  </si>
  <si>
    <t>Barcelon cry R</t>
  </si>
  <si>
    <t>Barcelon jump R (unused?)</t>
  </si>
  <si>
    <t>Barcelon bump/fall L (unused?)</t>
  </si>
  <si>
    <t>Barcelon bump/fall R (unused?)</t>
  </si>
  <si>
    <t>Barcelon win</t>
  </si>
  <si>
    <t>Big coin</t>
  </si>
  <si>
    <t>Big bell</t>
  </si>
  <si>
    <t>Big triangle</t>
  </si>
  <si>
    <t>Big diamond</t>
  </si>
  <si>
    <t>Big pineapple</t>
  </si>
  <si>
    <t>Big pudding</t>
  </si>
  <si>
    <t>Big hamburger</t>
  </si>
  <si>
    <t>Big field peas</t>
  </si>
  <si>
    <t>Ending Judy R</t>
  </si>
  <si>
    <t>Ending Judy walk R</t>
  </si>
  <si>
    <t>PlayerL</t>
  </si>
  <si>
    <t>PlayerR</t>
  </si>
  <si>
    <t>PlayerWalkL</t>
  </si>
  <si>
    <t>PlayerWalkR</t>
  </si>
  <si>
    <t>PlayerJumpL</t>
  </si>
  <si>
    <t>PlayerJumpR</t>
  </si>
  <si>
    <t>PlayerFallL</t>
  </si>
  <si>
    <t>PlayerFallR</t>
  </si>
  <si>
    <t>PlayerStartFallL</t>
  </si>
  <si>
    <t>PlayerStartFallR</t>
  </si>
  <si>
    <t>PlayerDie</t>
  </si>
  <si>
    <t>PlayerWeakenR</t>
  </si>
  <si>
    <t>PlayerWeakenL</t>
  </si>
  <si>
    <t>Spin (Flip standing) (Appears unused)</t>
  </si>
  <si>
    <t>PlayerInhale1L</t>
  </si>
  <si>
    <t>PlayerInhale1R</t>
  </si>
  <si>
    <t>PlayerInhale2L</t>
  </si>
  <si>
    <t>PlayerInhale2R</t>
  </si>
  <si>
    <t>PlayerInhale3L</t>
  </si>
  <si>
    <t>PlayerInhale3R</t>
  </si>
  <si>
    <t>PlayerInhale4L</t>
  </si>
  <si>
    <t>PlayerInhale4R</t>
  </si>
  <si>
    <t>Start float L (appears unused)</t>
  </si>
  <si>
    <t>Start float R (appears unused)</t>
  </si>
  <si>
    <t>PlayerRoundStart</t>
  </si>
  <si>
    <t>PlayerRotateL</t>
  </si>
  <si>
    <t>PlayerRotateR</t>
  </si>
  <si>
    <t>Title screen cursor bubble &amp; regular bubble</t>
  </si>
  <si>
    <t>Bubble</t>
  </si>
  <si>
    <t>PlayerWin</t>
  </si>
  <si>
    <t>BubblePop</t>
  </si>
  <si>
    <t>BubbleWeak</t>
  </si>
  <si>
    <t>DoubleBubble</t>
  </si>
  <si>
    <t>TripleBubble</t>
  </si>
  <si>
    <t>PlayerShootL</t>
  </si>
  <si>
    <t>PlayerShootR</t>
  </si>
  <si>
    <t>Inflated L (appears unused)</t>
  </si>
  <si>
    <t>Inflated R (appears unused)</t>
  </si>
  <si>
    <t>SpringitBodyR</t>
  </si>
  <si>
    <t>SpringitR</t>
  </si>
  <si>
    <t>SpringitBodyL</t>
  </si>
  <si>
    <t>SpringitL</t>
  </si>
  <si>
    <t>ZenChanL</t>
  </si>
  <si>
    <t>ZenChanR</t>
  </si>
  <si>
    <t>MonstaL</t>
  </si>
  <si>
    <t>MonstaR</t>
  </si>
  <si>
    <t>SnaggerL</t>
  </si>
  <si>
    <t>SnaggerR</t>
  </si>
  <si>
    <t>BanebouL</t>
  </si>
  <si>
    <t>BanebouR</t>
  </si>
  <si>
    <t>BlobbyL</t>
  </si>
  <si>
    <t>BlobbyR</t>
  </si>
  <si>
    <t>HeitaiKunL</t>
  </si>
  <si>
    <t>HeitaiKunR</t>
  </si>
  <si>
    <t>CarryHeliL</t>
  </si>
  <si>
    <t>CarryHeliR</t>
  </si>
  <si>
    <t>ManticharL</t>
  </si>
  <si>
    <t>ManticharR</t>
  </si>
  <si>
    <t>RoboZenL</t>
  </si>
  <si>
    <t>RoboZenR</t>
  </si>
  <si>
    <t>Flutterfly (appears unused)</t>
  </si>
  <si>
    <t>TwizzerSpin</t>
  </si>
  <si>
    <t>DrunkL</t>
  </si>
  <si>
    <t>DrunkR</t>
  </si>
  <si>
    <t>ZenChanTrapped</t>
  </si>
  <si>
    <t>BanebouTrapped</t>
  </si>
  <si>
    <t>BlobbyTrapped</t>
  </si>
  <si>
    <t>PulpulTrapped</t>
  </si>
  <si>
    <t>NeedlerTrapped</t>
  </si>
  <si>
    <t>InvaderTrapped</t>
  </si>
  <si>
    <t>MonstaTrapped</t>
  </si>
  <si>
    <t>HeitaiKunTrapped</t>
  </si>
  <si>
    <t>SpringitBlast</t>
  </si>
  <si>
    <t>SpringitBodyDieR</t>
  </si>
  <si>
    <t>SpringitDieR</t>
  </si>
  <si>
    <t>SpringitBodyDieL</t>
  </si>
  <si>
    <t>SpringitDieL</t>
  </si>
  <si>
    <t>DOHProj</t>
  </si>
  <si>
    <t>DOHProjSpin</t>
  </si>
  <si>
    <t>ZenChanTurnL</t>
  </si>
  <si>
    <t>ZenChanTurnR</t>
  </si>
  <si>
    <t>DrunkTrapped</t>
  </si>
  <si>
    <t>FlutterflyTrapped</t>
  </si>
  <si>
    <t>DOHTrapped</t>
  </si>
  <si>
    <t>GhostMonstaL</t>
  </si>
  <si>
    <t>GhostMonstaR</t>
  </si>
  <si>
    <t>GhostMonstaReveal</t>
  </si>
  <si>
    <t>ChuckerTrapped</t>
  </si>
  <si>
    <t>RounderTrapped</t>
  </si>
  <si>
    <t>SnaggerAttackL</t>
  </si>
  <si>
    <t>SnaggerAttackR</t>
  </si>
  <si>
    <t>InvaderBlast</t>
  </si>
  <si>
    <t>Ruckus bomb expl</t>
  </si>
  <si>
    <t>RuckusBlast</t>
  </si>
  <si>
    <t>BlobbyCeilL</t>
  </si>
  <si>
    <t>BlobbyCeilR</t>
  </si>
  <si>
    <t>BlobbyOverL</t>
  </si>
  <si>
    <t>BlobbyOverR</t>
  </si>
  <si>
    <t>BlobbyUnderL</t>
  </si>
  <si>
    <t>BlobbyUnderR</t>
  </si>
  <si>
    <t>BlobbyUpL</t>
  </si>
  <si>
    <t>BlobbyUpR</t>
  </si>
  <si>
    <t>BlobbyDownL</t>
  </si>
  <si>
    <t>BlobbyDownR</t>
  </si>
  <si>
    <t>BlobbyFlyDownL</t>
  </si>
  <si>
    <t>BlobbyFlyDownR</t>
  </si>
  <si>
    <t>BlobbyFlyUpL</t>
  </si>
  <si>
    <t>BlobbyFlyUpR</t>
  </si>
  <si>
    <t>CarryHeliExitL</t>
  </si>
  <si>
    <t>CarryHeliExitR</t>
  </si>
  <si>
    <t>HeitaiKunExposedL</t>
  </si>
  <si>
    <t>HeitaiKunExposedR</t>
  </si>
  <si>
    <t>HeitaiKunHelmetL</t>
  </si>
  <si>
    <t>HeitaiKunHelmetR</t>
  </si>
  <si>
    <t>CarryHeliOpenL</t>
  </si>
  <si>
    <t>CarryHeliOpenR</t>
  </si>
  <si>
    <t>FlarionShrunk</t>
  </si>
  <si>
    <t>FlarionSmall</t>
  </si>
  <si>
    <t>FlarionSmaller</t>
  </si>
  <si>
    <t>FlarionSmallest</t>
  </si>
  <si>
    <t>ManticharAngryL</t>
  </si>
  <si>
    <t>ManticharAngryR</t>
  </si>
  <si>
    <t>RoboZenShootL</t>
  </si>
  <si>
    <t>RoboZenShootR</t>
  </si>
  <si>
    <t>RoboZenWindingL</t>
  </si>
  <si>
    <t>RoboZenWindingR</t>
  </si>
  <si>
    <t>KirikabunBlink</t>
  </si>
  <si>
    <t>PulpulBlink</t>
  </si>
  <si>
    <t>DrunkThrowL</t>
  </si>
  <si>
    <t>DrunkThrowR</t>
  </si>
  <si>
    <t>CarryHeliDieL</t>
  </si>
  <si>
    <t>CarryHeliDieR</t>
  </si>
  <si>
    <t>ManticharDie</t>
  </si>
  <si>
    <t>RuckusDie</t>
  </si>
  <si>
    <t>KirikabunDie</t>
  </si>
  <si>
    <t>Kirikabun die</t>
  </si>
  <si>
    <t>FlutterflyDie</t>
  </si>
  <si>
    <t>TwizzerDie</t>
  </si>
  <si>
    <t>DOHDie</t>
  </si>
  <si>
    <t>ZenChanDie</t>
  </si>
  <si>
    <t>MonstaDie</t>
  </si>
  <si>
    <t>NeedlerDie</t>
  </si>
  <si>
    <t>BanebouDie</t>
  </si>
  <si>
    <t>BlobbyDie</t>
  </si>
  <si>
    <t>PulpulDie</t>
  </si>
  <si>
    <t>InvaderDie</t>
  </si>
  <si>
    <t>HeitaiKunDie</t>
  </si>
  <si>
    <t>DrunkDie</t>
  </si>
  <si>
    <t>InvaderBeam</t>
  </si>
  <si>
    <t>NeedlerSyringe</t>
  </si>
  <si>
    <t>HeitaiKunPara</t>
  </si>
  <si>
    <t>HeitaiKunParaLand</t>
  </si>
  <si>
    <t>FlarionFlame</t>
  </si>
  <si>
    <t>repeat</t>
  </si>
  <si>
    <t>Yes</t>
  </si>
  <si>
    <t>ChuckerL</t>
  </si>
  <si>
    <t>ChuckerR</t>
  </si>
  <si>
    <t>ChuckerSmallL</t>
  </si>
  <si>
    <t>ChuckerSmallR</t>
  </si>
  <si>
    <t>ChuckerShootL</t>
  </si>
  <si>
    <t>ChuckerShootR</t>
  </si>
  <si>
    <t>??? (used)</t>
  </si>
  <si>
    <t>DOHTop</t>
  </si>
  <si>
    <t>DOHFace</t>
  </si>
  <si>
    <t>DOHMouth</t>
  </si>
  <si>
    <t>DOHBody</t>
  </si>
  <si>
    <t>DOHTopShoot</t>
  </si>
  <si>
    <t>DOHFaceShoot</t>
  </si>
  <si>
    <t>DOHMouthShoot</t>
  </si>
  <si>
    <t>DOHBodyShoot</t>
  </si>
  <si>
    <t>RuckusL</t>
  </si>
  <si>
    <t>RuckusR</t>
  </si>
  <si>
    <t>PlayerGameOver</t>
  </si>
  <si>
    <t>PlayerContinue</t>
  </si>
  <si>
    <t>RounderReward</t>
  </si>
  <si>
    <t>NeedlerExposed</t>
  </si>
  <si>
    <t>SpikeBall</t>
  </si>
  <si>
    <t>ChuckerDie</t>
  </si>
  <si>
    <t>SkullFireR</t>
  </si>
  <si>
    <t>SkullR</t>
  </si>
  <si>
    <t>BurningSkullR</t>
  </si>
  <si>
    <t>SkullFireL</t>
  </si>
  <si>
    <t>BurningSkullL</t>
  </si>
  <si>
    <t>SkullL</t>
  </si>
  <si>
    <t>MadMonkeyStartJump</t>
  </si>
  <si>
    <t>MadMonkeyJump</t>
  </si>
  <si>
    <t>MadMonkeyDie</t>
  </si>
  <si>
    <t>RounderHang</t>
  </si>
  <si>
    <t>RounderTrappedAlt</t>
  </si>
  <si>
    <t>RounderDie</t>
  </si>
  <si>
    <t>RocShoot</t>
  </si>
  <si>
    <t>RocMad</t>
  </si>
  <si>
    <t>RocMadShoot</t>
  </si>
  <si>
    <t>RocBigLightning</t>
  </si>
  <si>
    <t>SkullReticle</t>
  </si>
  <si>
    <t>SkullHeart</t>
  </si>
  <si>
    <t>SuperDrunkL</t>
  </si>
  <si>
    <t>SuperDrunkR</t>
  </si>
  <si>
    <t>SuperDrunkOrb</t>
  </si>
  <si>
    <t>SuperDrunkDebrisA</t>
  </si>
  <si>
    <t>SuperDrunkDebrisB</t>
  </si>
  <si>
    <t>SuperDrunkDebrisC</t>
  </si>
  <si>
    <t>FinalSkullL</t>
  </si>
  <si>
    <t>FinalSkullR</t>
  </si>
  <si>
    <t>FinalSkullJumpL</t>
  </si>
  <si>
    <t>FinalSkullJumpR</t>
  </si>
  <si>
    <t>FinalSkullDie</t>
  </si>
  <si>
    <t>RuckusBomb</t>
  </si>
  <si>
    <t>PlayerNeedlerL</t>
  </si>
  <si>
    <t>PlayerNeedlerR</t>
  </si>
  <si>
    <t>ZenChan look around RL</t>
  </si>
  <si>
    <t>ZenChan look around LR</t>
  </si>
  <si>
    <t>ZenChanLookAroundL</t>
  </si>
  <si>
    <t>ZenChanLookAroundR</t>
  </si>
  <si>
    <t>TrashFall</t>
  </si>
  <si>
    <t>TrashFallAlt2</t>
  </si>
  <si>
    <t>TrashFallAlt3</t>
  </si>
  <si>
    <t>TrashFallAlt1</t>
  </si>
  <si>
    <t>ThunderBubble</t>
  </si>
  <si>
    <t>FireBubble</t>
  </si>
  <si>
    <t>FloodBubble</t>
  </si>
  <si>
    <t>SnowBubble</t>
  </si>
  <si>
    <t>WindBubble</t>
  </si>
  <si>
    <t>StarBubble</t>
  </si>
  <si>
    <t>SnowRelease</t>
  </si>
  <si>
    <t>Thunder alt (appears unused)</t>
  </si>
  <si>
    <t>ThunderAlt</t>
  </si>
  <si>
    <t>StarAlt</t>
  </si>
  <si>
    <t>SnowAlt</t>
  </si>
  <si>
    <t>WindAlt</t>
  </si>
  <si>
    <t>Star alt (error) (appears unused)</t>
  </si>
  <si>
    <t>Snow alt (appears unused)</t>
  </si>
  <si>
    <t>Wind alt (not spinning) (appears unused)</t>
  </si>
  <si>
    <t>??? (appears unused)</t>
  </si>
  <si>
    <t>Tractor missile</t>
  </si>
  <si>
    <t>TractorMissile</t>
  </si>
  <si>
    <t>DrinkThunder</t>
  </si>
  <si>
    <t>DrinkStar</t>
  </si>
  <si>
    <t>DrinkSnow</t>
  </si>
  <si>
    <t>Flames4</t>
  </si>
  <si>
    <t>2 flames 2px further left</t>
  </si>
  <si>
    <t>Flames2</t>
  </si>
  <si>
    <t>Flames2L</t>
  </si>
  <si>
    <t>Flames3</t>
  </si>
  <si>
    <t>3 flames 2px further right</t>
  </si>
  <si>
    <t>Flames3R</t>
  </si>
  <si>
    <t>FloodV</t>
  </si>
  <si>
    <t>FloodH</t>
  </si>
  <si>
    <t>DrinkWind</t>
  </si>
  <si>
    <t>RocDie</t>
  </si>
  <si>
    <t>PlayerSmallL</t>
  </si>
  <si>
    <t>PlayerSmallR</t>
  </si>
  <si>
    <t>PlayerSmallWalkL</t>
  </si>
  <si>
    <t>PlayerSmallWalkR</t>
  </si>
  <si>
    <t>ChuckerBlast</t>
  </si>
  <si>
    <t>ChuckerBlastAlt</t>
  </si>
  <si>
    <t>RocSmallLightning</t>
  </si>
  <si>
    <t>SnowSpread</t>
  </si>
  <si>
    <t>SnowFall</t>
  </si>
  <si>
    <t>Flood horizontal alt (used)</t>
  </si>
  <si>
    <t>Flood horizontal alt (appears unused)</t>
  </si>
  <si>
    <t>FloodHAlt</t>
  </si>
  <si>
    <t>Fairy appear? (constant flipping) (appears unused)</t>
  </si>
  <si>
    <t>Fairy Fly L (appears unused)</t>
  </si>
  <si>
    <t>Fairy L (appears unused)</t>
  </si>
  <si>
    <t>Fairy error (appears unused)</t>
  </si>
  <si>
    <t>Fairy R (appears unused)</t>
  </si>
  <si>
    <t>Ending Cubby L (appears unused)</t>
  </si>
  <si>
    <t>Ending Judy L (appears unused)</t>
  </si>
  <si>
    <t>Ending heart (appears unused)</t>
  </si>
  <si>
    <t>FinalSkelMonstaL</t>
  </si>
  <si>
    <t>FinalSkelMonstaR</t>
  </si>
  <si>
    <t>FinalSkelMonstaSpawn</t>
  </si>
  <si>
    <t>FinalSkelMonstaLeave</t>
  </si>
  <si>
    <t>SnaggerDie</t>
  </si>
  <si>
    <t>BonusBall</t>
  </si>
  <si>
    <t>BonusHead</t>
  </si>
  <si>
    <t>BonusHand</t>
  </si>
  <si>
    <t>IntroCubbySit</t>
  </si>
  <si>
    <t>IntroJudySit</t>
  </si>
  <si>
    <t>IntroHeart</t>
  </si>
  <si>
    <t>FairyFlyL</t>
  </si>
  <si>
    <t>FairyFlyR</t>
  </si>
  <si>
    <t>BonusHandUpRight</t>
  </si>
  <si>
    <t>BonusHandUpLeft</t>
  </si>
  <si>
    <t>BonusHandDownRight</t>
  </si>
  <si>
    <t>BonusHandDownLeft</t>
  </si>
  <si>
    <t>BonusHandUpLeftAlt</t>
  </si>
  <si>
    <t>BonusHandUpRightAlt</t>
  </si>
  <si>
    <t>BonusHandDownLeftAlt</t>
  </si>
  <si>
    <t>IntroSkull</t>
  </si>
  <si>
    <t>IntroDrunksHide</t>
  </si>
  <si>
    <t>IntroCubbyFloat</t>
  </si>
  <si>
    <t>IntroJudyTrapped</t>
  </si>
  <si>
    <t>IntroJudyShout</t>
  </si>
  <si>
    <t>IntroDrunksWalkL</t>
  </si>
  <si>
    <t>IntroDrunksWalkR</t>
  </si>
  <si>
    <t>IntroPlayerWalkL</t>
  </si>
  <si>
    <t>BossJudyL</t>
  </si>
  <si>
    <t>CubbyL</t>
  </si>
  <si>
    <t>BarcelonL</t>
  </si>
  <si>
    <t>BarcelonJumpL</t>
  </si>
  <si>
    <t>BarcelonFallL</t>
  </si>
  <si>
    <t>BarcelonR</t>
  </si>
  <si>
    <t>BarcelonJumpR</t>
  </si>
  <si>
    <t>BarcelonFallR</t>
  </si>
  <si>
    <t>BarcelonWin</t>
  </si>
  <si>
    <t>BigCoin</t>
  </si>
  <si>
    <t>BigBell</t>
  </si>
  <si>
    <t>BigTriangle</t>
  </si>
  <si>
    <t>BigDiamond</t>
  </si>
  <si>
    <t>BigPudding</t>
  </si>
  <si>
    <t>BigPineapple</t>
  </si>
  <si>
    <t>BigHamburger</t>
  </si>
  <si>
    <t>BigFieldPeas</t>
  </si>
  <si>
    <t>JudyR</t>
  </si>
  <si>
    <t>JudyWalkR</t>
  </si>
  <si>
    <t>asm</t>
  </si>
  <si>
    <t>asm2</t>
  </si>
  <si>
    <t>py</t>
  </si>
  <si>
    <t>idcopy</t>
  </si>
  <si>
    <t>AnnounceRound</t>
  </si>
  <si>
    <t>AnnounceClear</t>
  </si>
  <si>
    <t>AnnounceBonus</t>
  </si>
  <si>
    <t>AnnounceGame</t>
  </si>
  <si>
    <t>AnnounceNo</t>
  </si>
  <si>
    <t>AnnouncePause</t>
  </si>
  <si>
    <t>AnnounceTheEnd</t>
  </si>
  <si>
    <t>Announce0</t>
  </si>
  <si>
    <t>Announce1</t>
  </si>
  <si>
    <t>Announce2</t>
  </si>
  <si>
    <t>Announce3</t>
  </si>
  <si>
    <t>Announce4</t>
  </si>
  <si>
    <t>Announce5</t>
  </si>
  <si>
    <t>Announce6</t>
  </si>
  <si>
    <t>Announce7</t>
  </si>
  <si>
    <t>Announce8</t>
  </si>
  <si>
    <t>Announce9</t>
  </si>
  <si>
    <t>Announce30000</t>
  </si>
  <si>
    <t>Announce10000</t>
  </si>
  <si>
    <t>AnnouncePlayer</t>
  </si>
  <si>
    <t>Announce100000</t>
  </si>
  <si>
    <t>Announce10000Alt1</t>
  </si>
  <si>
    <t>Announce10000Alt2</t>
  </si>
  <si>
    <t>Announce10000Alt3</t>
  </si>
  <si>
    <t>Announce10000Alt4</t>
  </si>
  <si>
    <t>Announce10000Alt5</t>
  </si>
  <si>
    <t>Announce10000Alt6</t>
  </si>
  <si>
    <t>Announce10000Alt7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</si>
  <si>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</si>
  <si>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</si>
  <si>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</si>
  <si>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</si>
  <si>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</si>
  <si>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</si>
  <si>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</si>
  <si>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</si>
  <si>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</si>
  <si>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</si>
  <si>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</si>
  <si>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</si>
  <si>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</si>
  <si>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</si>
  <si>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</si>
  <si>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</si>
  <si>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</si>
  <si>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</si>
  <si>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</si>
  <si>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</si>
  <si>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</si>
  <si>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</si>
  <si>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</si>
  <si>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</si>
  <si>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</si>
  <si>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</si>
  <si>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</si>
  <si>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</si>
  <si>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</si>
  <si>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</si>
  <si>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</si>
  <si>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</si>
  <si>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</si>
  <si>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</si>
  <si>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</si>
  <si>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</si>
  <si>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</si>
  <si>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</si>
  <si>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</si>
  <si>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</si>
  <si>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</si>
  <si>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</si>
  <si>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</si>
  <si>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</si>
  <si>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</si>
  <si>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</si>
  <si>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2E</t>
  </si>
  <si>
    <t>2F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</si>
  <si>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</si>
  <si>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</si>
  <si>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</si>
  <si>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</si>
  <si>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</si>
  <si>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</si>
  <si>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</si>
  <si>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</si>
  <si>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</si>
  <si>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</si>
  <si>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3A</t>
  </si>
  <si>
    <t>3B</t>
  </si>
  <si>
    <t>3C</t>
  </si>
  <si>
    <t>3D</t>
  </si>
  <si>
    <t>3E</t>
  </si>
  <si>
    <t>3F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</si>
  <si>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</si>
  <si>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</si>
  <si>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</si>
  <si>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</si>
  <si>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</si>
  <si>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</si>
  <si>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</si>
  <si>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</si>
  <si>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</si>
  <si>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</si>
  <si>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</si>
  <si>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4B</t>
  </si>
  <si>
    <t>4C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</si>
  <si>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</si>
  <si>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</si>
  <si>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</si>
  <si>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</si>
  <si>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</si>
  <si>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</si>
  <si>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</si>
  <si>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</si>
  <si>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</si>
  <si>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</si>
  <si>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</si>
  <si>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</si>
  <si>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</si>
  <si>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5A</t>
  </si>
  <si>
    <t>5B</t>
  </si>
  <si>
    <t>5C</t>
  </si>
  <si>
    <t>5D</t>
  </si>
  <si>
    <t>5E</t>
  </si>
  <si>
    <t>5F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</si>
  <si>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</si>
  <si>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</si>
  <si>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</si>
  <si>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</si>
  <si>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</si>
  <si>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</si>
  <si>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</si>
  <si>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</si>
  <si>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</si>
  <si>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</si>
  <si>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6A</t>
  </si>
  <si>
    <t>6B</t>
  </si>
  <si>
    <t>6C</t>
  </si>
  <si>
    <t>6D</t>
  </si>
  <si>
    <t>6E</t>
  </si>
  <si>
    <t>6F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</si>
  <si>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</si>
  <si>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</si>
  <si>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</si>
  <si>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</si>
  <si>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</si>
  <si>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</si>
  <si>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</si>
  <si>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</si>
  <si>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</si>
  <si>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</si>
  <si>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7A</t>
  </si>
  <si>
    <t>7B</t>
  </si>
  <si>
    <t>7C</t>
  </si>
  <si>
    <t>7D</t>
  </si>
  <si>
    <t>7E</t>
  </si>
  <si>
    <t>7F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</si>
  <si>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</si>
  <si>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</si>
  <si>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</si>
  <si>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</si>
  <si>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</si>
  <si>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</si>
  <si>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</si>
  <si>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</si>
  <si>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</si>
  <si>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</si>
  <si>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8A</t>
  </si>
  <si>
    <t>8B</t>
  </si>
  <si>
    <t>8C</t>
  </si>
  <si>
    <t>8D</t>
  </si>
  <si>
    <t>8E</t>
  </si>
  <si>
    <t>8F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</si>
  <si>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</si>
  <si>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</si>
  <si>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</si>
  <si>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</si>
  <si>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</si>
  <si>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</si>
  <si>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</si>
  <si>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</si>
  <si>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</si>
  <si>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</si>
  <si>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</si>
  <si>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</si>
  <si>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</si>
  <si>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</si>
  <si>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</si>
  <si>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</si>
  <si>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</si>
  <si>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</si>
  <si>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</si>
  <si>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</si>
  <si>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</si>
  <si>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</si>
  <si>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</si>
  <si>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</si>
  <si>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</si>
  <si>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</si>
  <si>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</si>
  <si>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</si>
  <si>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</si>
  <si>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</si>
  <si>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</si>
  <si>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</si>
  <si>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</si>
  <si>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</si>
  <si>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</si>
  <si>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</si>
  <si>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</si>
  <si>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</si>
  <si>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</si>
  <si>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</si>
  <si>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</si>
  <si>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</si>
  <si>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</si>
  <si>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</si>
  <si>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</si>
  <si>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</si>
  <si>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BE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</si>
  <si>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</si>
  <si>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</si>
  <si>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</si>
  <si>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</si>
  <si>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</si>
  <si>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</si>
  <si>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</si>
  <si>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</si>
  <si>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</si>
  <si>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</si>
  <si>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</si>
  <si>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</si>
  <si>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</si>
  <si>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</si>
  <si>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</si>
  <si>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</si>
  <si>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</si>
  <si>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</si>
  <si>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</si>
  <si>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</si>
  <si>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</si>
  <si>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</si>
  <si>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</si>
  <si>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</si>
  <si>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</si>
  <si>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</si>
  <si>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</si>
  <si>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</si>
  <si>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</si>
  <si>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</si>
  <si>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</si>
  <si>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</si>
  <si>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</si>
  <si>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</si>
  <si>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</si>
  <si>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</si>
  <si>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</si>
  <si>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</si>
  <si>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</si>
  <si>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</si>
  <si>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</si>
  <si>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</si>
  <si>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</si>
  <si>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</si>
  <si>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</si>
  <si>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</si>
  <si>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</si>
  <si>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</si>
  <si>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EF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</si>
  <si>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</si>
  <si>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</si>
  <si>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</si>
  <si>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</si>
  <si>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</si>
  <si>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</si>
  <si>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</si>
  <si>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</si>
  <si>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</si>
  <si>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</si>
  <si>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</si>
  <si>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</si>
  <si>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FC</t>
  </si>
  <si>
    <t>FD</t>
  </si>
  <si>
    <t>FE</t>
  </si>
  <si>
    <t>FF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</si>
  <si>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</si>
  <si>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</si>
  <si>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</si>
  <si>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</si>
  <si>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</si>
  <si>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</si>
  <si>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</si>
  <si>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</si>
  <si>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</si>
  <si>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</si>
  <si>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10A</t>
  </si>
  <si>
    <t>10B</t>
  </si>
  <si>
    <t>10C</t>
  </si>
  <si>
    <t>10D</t>
  </si>
  <si>
    <t>10E</t>
  </si>
  <si>
    <t>10F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</si>
  <si>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</si>
  <si>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</si>
  <si>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</si>
  <si>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</si>
  <si>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</si>
  <si>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</si>
  <si>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</si>
  <si>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</si>
  <si>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</si>
  <si>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</si>
  <si>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11A</t>
  </si>
  <si>
    <t>11B</t>
  </si>
  <si>
    <t>11C</t>
  </si>
  <si>
    <t>11D</t>
  </si>
  <si>
    <t>11E</t>
  </si>
  <si>
    <t>11F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</si>
  <si>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</si>
  <si>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</si>
  <si>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</si>
  <si>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</si>
  <si>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</si>
  <si>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</si>
  <si>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</si>
  <si>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</si>
  <si>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</si>
  <si>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</si>
  <si>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12A</t>
  </si>
  <si>
    <t>12B</t>
  </si>
  <si>
    <t>12C</t>
  </si>
  <si>
    <t>12D</t>
  </si>
  <si>
    <t>12E</t>
  </si>
  <si>
    <t>12F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</si>
  <si>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</si>
  <si>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</si>
  <si>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</si>
  <si>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</si>
  <si>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</si>
  <si>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</si>
  <si>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</si>
  <si>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</si>
  <si>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</si>
  <si>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</si>
  <si>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13A</t>
  </si>
  <si>
    <t>13B</t>
  </si>
  <si>
    <t>13C</t>
  </si>
  <si>
    <t>13D</t>
  </si>
  <si>
    <t>13E</t>
  </si>
  <si>
    <t>13F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</si>
  <si>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</si>
  <si>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</si>
  <si>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</si>
  <si>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</si>
  <si>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</si>
  <si>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</si>
  <si>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</si>
  <si>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</si>
  <si>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</si>
  <si>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</si>
  <si>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14A</t>
  </si>
  <si>
    <t>14B</t>
  </si>
  <si>
    <t>14C</t>
  </si>
  <si>
    <t>14D</t>
  </si>
  <si>
    <t>14E</t>
  </si>
  <si>
    <t>14F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</si>
  <si>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</si>
  <si>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</si>
  <si>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</si>
  <si>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</si>
  <si>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</si>
  <si>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</si>
  <si>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</si>
  <si>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</si>
  <si>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</si>
  <si>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</si>
  <si>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15A</t>
  </si>
  <si>
    <t>15B</t>
  </si>
  <si>
    <t>15C</t>
  </si>
  <si>
    <t>15D</t>
  </si>
  <si>
    <t>15E</t>
  </si>
  <si>
    <t>15F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</si>
  <si>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</si>
  <si>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</si>
  <si>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</si>
  <si>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</si>
  <si>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</si>
  <si>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</si>
  <si>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</si>
  <si>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</si>
  <si>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</si>
  <si>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</si>
  <si>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16A</t>
  </si>
  <si>
    <t>16B</t>
  </si>
  <si>
    <t>16C</t>
  </si>
  <si>
    <t>16D</t>
  </si>
  <si>
    <t>16E</t>
  </si>
  <si>
    <t>16F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</si>
  <si>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</si>
  <si>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</si>
  <si>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</si>
  <si>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</si>
  <si>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</si>
  <si>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</si>
  <si>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</si>
  <si>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</si>
  <si>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</si>
  <si>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</si>
  <si>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17A</t>
  </si>
  <si>
    <t>17B</t>
  </si>
  <si>
    <t>17C</t>
  </si>
  <si>
    <t>17D</t>
  </si>
  <si>
    <t>17E</t>
  </si>
  <si>
    <t>17F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</si>
  <si>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</si>
  <si>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</si>
  <si>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</si>
  <si>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</si>
  <si>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</si>
  <si>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</si>
  <si>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</si>
  <si>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</si>
  <si>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</si>
  <si>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</si>
  <si>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18A</t>
  </si>
  <si>
    <t>18B</t>
  </si>
  <si>
    <t>18C</t>
  </si>
  <si>
    <t>18D</t>
  </si>
  <si>
    <t>18E</t>
  </si>
  <si>
    <t>18F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</si>
  <si>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</si>
  <si>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</si>
  <si>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</si>
  <si>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</si>
  <si>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</si>
  <si>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</si>
  <si>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</si>
  <si>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</si>
  <si>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</si>
  <si>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</si>
  <si>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19A</t>
  </si>
  <si>
    <t>Spell</t>
  </si>
  <si>
    <t>Intro/ending spell</t>
  </si>
  <si>
    <t>Player ending walk right</t>
  </si>
  <si>
    <t>EndingPlayerWalkR</t>
  </si>
  <si>
    <t>PlayerLoseR</t>
  </si>
  <si>
    <t>PlayerLoseL</t>
  </si>
  <si>
    <t>BarcelonLoseL</t>
  </si>
  <si>
    <t>BarcelonLoseR</t>
  </si>
  <si>
    <t>RounderFall</t>
  </si>
  <si>
    <t>SuperDrunk debris</t>
  </si>
  <si>
    <t>??? (used) Bomb?</t>
  </si>
  <si>
    <t>BombBubble</t>
  </si>
  <si>
    <t>Flame</t>
  </si>
  <si>
    <t>??? Black square? (used) (Robo-Zen missile)</t>
  </si>
  <si>
    <t>??? (Robo-Zen missile)</t>
  </si>
  <si>
    <t>BubbleEmerge</t>
  </si>
  <si>
    <t>Bubble emerge</t>
  </si>
  <si>
    <t>HandWindingL</t>
  </si>
  <si>
    <t>HandWindingR</t>
  </si>
  <si>
    <t>Hand winding</t>
  </si>
  <si>
    <t>BigDessert</t>
  </si>
  <si>
    <t>Kokigori? No lists ever have this darn thing</t>
  </si>
  <si>
    <t>RoboZenHandL</t>
  </si>
  <si>
    <t>RoboZenHandR</t>
  </si>
  <si>
    <t>RoboZenMissileUp</t>
  </si>
  <si>
    <t>RoboZenMissileUpRight</t>
  </si>
  <si>
    <t>RoboZenMissileDownRight</t>
  </si>
  <si>
    <t>RoboZenMissileDown</t>
  </si>
  <si>
    <t>RoboZenMissileDownLeft</t>
  </si>
  <si>
    <t>RoboZenMissileUpLeft</t>
  </si>
  <si>
    <t>RoboZenMissileRight</t>
  </si>
  <si>
    <t>RoboZenMissileLeft</t>
  </si>
  <si>
    <t>DrunkBottle</t>
  </si>
  <si>
    <t>DrunkBlast</t>
  </si>
  <si>
    <t>EnemySpecificReward</t>
  </si>
  <si>
    <t>Uses current enemy CHR bank</t>
  </si>
  <si>
    <t>RuckusLAlt</t>
  </si>
  <si>
    <t>RuckusRAlt</t>
  </si>
  <si>
    <t>Ruckus L (other but identical images)</t>
  </si>
  <si>
    <t>Ruckus R (other but identical images)</t>
  </si>
  <si>
    <t>Heart</t>
  </si>
  <si>
    <t>Pencil</t>
  </si>
  <si>
    <t>Staff</t>
  </si>
  <si>
    <t>Crystal</t>
  </si>
  <si>
    <t>Star rod</t>
  </si>
  <si>
    <t>Shoe</t>
  </si>
  <si>
    <t>Candy</t>
  </si>
  <si>
    <t>Doll. Round item and multi-reward option</t>
  </si>
  <si>
    <t>Clock</t>
  </si>
  <si>
    <t>Tree</t>
  </si>
  <si>
    <t>Parasol</t>
  </si>
  <si>
    <t>Spiny Chestnut. Multi-reward option</t>
  </si>
  <si>
    <t>1UP. Doll used instead</t>
  </si>
  <si>
    <t>Holy cup</t>
  </si>
  <si>
    <t>Secret door</t>
  </si>
  <si>
    <t>1UP</t>
  </si>
  <si>
    <t>SpinyChestnut</t>
  </si>
  <si>
    <t>HolyCup</t>
  </si>
  <si>
    <t>SecretDoor</t>
  </si>
  <si>
    <t>StarRod</t>
  </si>
  <si>
    <t>JrDoll</t>
  </si>
  <si>
    <t>Flashing orb (solid bubble?)</t>
  </si>
  <si>
    <t>FlashingCircle</t>
  </si>
  <si>
    <t>SkelMonstaL</t>
  </si>
  <si>
    <t>SkelMonstaR</t>
  </si>
  <si>
    <t>SkelMonstaSpawn</t>
  </si>
  <si>
    <t>SkelMonstaLeave</t>
  </si>
  <si>
    <t>Skel Monsta</t>
  </si>
  <si>
    <t>Fairy015E</t>
  </si>
  <si>
    <t>Fairy015F</t>
  </si>
  <si>
    <t>Fairy0160</t>
  </si>
  <si>
    <t>Fairy0161</t>
  </si>
  <si>
    <t>Fairy0162</t>
  </si>
  <si>
    <t>Fairy0163</t>
  </si>
  <si>
    <t>Cubby0164</t>
  </si>
  <si>
    <t>Judy0165</t>
  </si>
  <si>
    <t>Heart0166</t>
  </si>
  <si>
    <t>Repeat of Dummy</t>
  </si>
  <si>
    <t>num</t>
  </si>
  <si>
    <t>ofs</t>
  </si>
  <si>
    <t>bank</t>
  </si>
  <si>
    <t>imgbank</t>
  </si>
  <si>
    <t>04,0A</t>
  </si>
  <si>
    <t>ChuckerRock</t>
  </si>
  <si>
    <t>py2</t>
  </si>
  <si>
    <t>PlayerJumpL_0</t>
  </si>
  <si>
    <t>UNK0B_0</t>
  </si>
  <si>
    <t>PlayerJumpR_0</t>
  </si>
  <si>
    <t>UNK0B_1</t>
  </si>
  <si>
    <t>PlayerRotateL_0</t>
  </si>
  <si>
    <t>PlayerRotateR_0</t>
  </si>
  <si>
    <t>FlashingCircle_0</t>
  </si>
  <si>
    <t>FlashingCircle_1</t>
  </si>
  <si>
    <t>Bubble_0</t>
  </si>
  <si>
    <t>BubblePop_0</t>
  </si>
  <si>
    <t>BubblePop_1</t>
  </si>
  <si>
    <t>BubbleEmerge_0</t>
  </si>
  <si>
    <t>DoubleBubble_2</t>
  </si>
  <si>
    <t>TripleBubble_2</t>
  </si>
  <si>
    <t>ThunderBubble_0</t>
  </si>
  <si>
    <t>ThunderBubble_1</t>
  </si>
  <si>
    <t>Flames4_0</t>
  </si>
  <si>
    <t>UNK122_0</t>
  </si>
  <si>
    <t>ZenChanL_0</t>
  </si>
  <si>
    <t>ZenChanL_1</t>
  </si>
  <si>
    <t>ZenChanL_2</t>
  </si>
  <si>
    <t>ZenChanL_3</t>
  </si>
  <si>
    <t>BanebouL_1</t>
  </si>
  <si>
    <t>BanebouL_0</t>
  </si>
  <si>
    <t>InvaderTrapped_0</t>
  </si>
  <si>
    <t>InvaderTrapped_1</t>
  </si>
  <si>
    <t>RoboZenHandL_0</t>
  </si>
  <si>
    <t>RoboZenHandL_1</t>
  </si>
  <si>
    <t>ZenChanTrapped_2</t>
  </si>
  <si>
    <t>NeedlerTrapped_1</t>
  </si>
  <si>
    <t>BlobbyTrapped_0</t>
  </si>
  <si>
    <t>BlobbyTrapped_1</t>
  </si>
  <si>
    <t>BlobbyTrapped_2</t>
  </si>
  <si>
    <t>ZenChanR_0</t>
  </si>
  <si>
    <t>ZenChanR_1</t>
  </si>
  <si>
    <t>ZenChanR_2</t>
  </si>
  <si>
    <t>ZenChanR_3</t>
  </si>
  <si>
    <t>BanebouL_9</t>
  </si>
  <si>
    <t>ChuckerShootR_1</t>
  </si>
  <si>
    <t>BlobbyUpR_0</t>
  </si>
  <si>
    <t>BlobbyUpR_1</t>
  </si>
  <si>
    <t>RoboZenHandR_0</t>
  </si>
  <si>
    <t>RoboZenHandR_1</t>
  </si>
  <si>
    <t>HandWindingR_0</t>
  </si>
  <si>
    <t>HandWindingR_1</t>
  </si>
  <si>
    <t>HandWindingR_2</t>
  </si>
  <si>
    <t>UNK04_008E</t>
  </si>
  <si>
    <t>BlobbyDownR_0</t>
  </si>
  <si>
    <t>BlobbyDownR_1</t>
  </si>
  <si>
    <t>Needler_0</t>
  </si>
  <si>
    <t>Needler_1</t>
  </si>
  <si>
    <t>NeedlerExposed_0</t>
  </si>
  <si>
    <t>NeedlerExposed_1</t>
  </si>
  <si>
    <t>RounderTrapped_0</t>
  </si>
  <si>
    <t>SnaggerL_0</t>
  </si>
  <si>
    <t>SnaggerL_1</t>
  </si>
  <si>
    <t>SnaggerAttackL_0</t>
  </si>
  <si>
    <t>SnaggerAttackL_1</t>
  </si>
  <si>
    <t>SnaggerAttackL_2</t>
  </si>
  <si>
    <t>SnaggerR_0</t>
  </si>
  <si>
    <t>SnaggerR_1</t>
  </si>
  <si>
    <t>SnaggerAttackR_0</t>
  </si>
  <si>
    <t>SnaggerAttackR_1</t>
  </si>
  <si>
    <t>SnaggerAttackR_2</t>
  </si>
  <si>
    <t>PlayerRotateR_2</t>
  </si>
  <si>
    <t>PlayerRotateL_2</t>
  </si>
  <si>
    <t>InvaderBeam_0</t>
  </si>
  <si>
    <t>InvaderBeam_1</t>
  </si>
  <si>
    <t>CarryHeliL_0</t>
  </si>
  <si>
    <t>CarryHeliL_1</t>
  </si>
  <si>
    <t>CarryHeliOpenL_0</t>
  </si>
  <si>
    <t>CarryHeliOpenL_1</t>
  </si>
  <si>
    <t>CarryHeliR_0</t>
  </si>
  <si>
    <t>CarryHeliR_1</t>
  </si>
  <si>
    <t>CarryHeliOpenR_0</t>
  </si>
  <si>
    <t>CarryHeliOpenR_1</t>
  </si>
  <si>
    <t>Flarion_0</t>
  </si>
  <si>
    <t>FlarionShrunk_0</t>
  </si>
  <si>
    <t>FlarionSmall_0</t>
  </si>
  <si>
    <t>FlarionSmaller_0</t>
  </si>
  <si>
    <t>FlarionSmallest_0</t>
  </si>
  <si>
    <t>Flarion_1</t>
  </si>
  <si>
    <t>FlarionShrunk_1</t>
  </si>
  <si>
    <t>FlarionSmall_1</t>
  </si>
  <si>
    <t>FlarionSmaller_1</t>
  </si>
  <si>
    <t>FlarionSmallest_1</t>
  </si>
  <si>
    <t>FlarionFlame_0</t>
  </si>
  <si>
    <t>ManticharL_0</t>
  </si>
  <si>
    <t>ManticharL_1</t>
  </si>
  <si>
    <t>ManticharL_2</t>
  </si>
  <si>
    <t>ManticharR_0</t>
  </si>
  <si>
    <t>ManticharR_1</t>
  </si>
  <si>
    <t>ManticharR_2</t>
  </si>
  <si>
    <t>ManticharAngryL_1</t>
  </si>
  <si>
    <t>ManticharAngryR_1</t>
  </si>
  <si>
    <t>Flames2_0</t>
  </si>
  <si>
    <t>Flames2L_0</t>
  </si>
  <si>
    <t>Flames3_0</t>
  </si>
  <si>
    <t>Flames3R_0</t>
  </si>
  <si>
    <t>UNK122_1</t>
  </si>
  <si>
    <t>Bubble_1</t>
  </si>
  <si>
    <t>PlayerRoundStart_0</t>
  </si>
  <si>
    <t>PlayerRoundStart_1</t>
  </si>
  <si>
    <t>UNK140</t>
  </si>
  <si>
    <t>UNK141</t>
  </si>
  <si>
    <t>Flames4_1</t>
  </si>
  <si>
    <t>Flames2_1</t>
  </si>
  <si>
    <t>Flames2L_1</t>
  </si>
  <si>
    <t>Flames3_1</t>
  </si>
  <si>
    <t>Flames3R_1</t>
  </si>
  <si>
    <t>PlayerGameOver_0</t>
  </si>
  <si>
    <t>PlayerGameOver_1</t>
  </si>
  <si>
    <t>SnowFall_2</t>
  </si>
  <si>
    <t>SnowFall_3</t>
  </si>
  <si>
    <t>SnowFall_0</t>
  </si>
  <si>
    <t>SnowSpread_0</t>
  </si>
  <si>
    <t>SnowSpread_1</t>
  </si>
  <si>
    <t>SnowSpread_2</t>
  </si>
  <si>
    <t>SnowFall_1</t>
  </si>
  <si>
    <t>TwizzerDie_0</t>
  </si>
  <si>
    <t>TwizzerDie_1</t>
  </si>
  <si>
    <t>TwizzerDie_2</t>
  </si>
  <si>
    <t>DrunkL_0</t>
  </si>
  <si>
    <t>DrunkL_1</t>
  </si>
  <si>
    <t>DrunkL_2</t>
  </si>
  <si>
    <t>DrunkL_3</t>
  </si>
  <si>
    <t>DrunkR_0</t>
  </si>
  <si>
    <t>DrunkR_1</t>
  </si>
  <si>
    <t>DrunkR_2</t>
  </si>
  <si>
    <t>DrunkR_3</t>
  </si>
  <si>
    <t>DrunkDie_0</t>
  </si>
  <si>
    <t>DrunkDie_1</t>
  </si>
  <si>
    <t>DrunkDie_2</t>
  </si>
  <si>
    <t>DrunkDie_3</t>
  </si>
  <si>
    <t>BlobbyDownL_0</t>
  </si>
  <si>
    <t>BlobbyDownL_1</t>
  </si>
  <si>
    <t>BlobbyFlyUpL_0</t>
  </si>
  <si>
    <t>BlobbyFlyUpL_1</t>
  </si>
  <si>
    <t>BlobbyFlyUpR_0</t>
  </si>
  <si>
    <t>BlobbyFlyUpR_1</t>
  </si>
  <si>
    <t>BlobbyDie_2</t>
  </si>
  <si>
    <t>BlobbyDie_3</t>
  </si>
  <si>
    <t>NeedlerDie_2</t>
  </si>
  <si>
    <t>NeedlerDie_3</t>
  </si>
  <si>
    <t>InvaderDie_2</t>
  </si>
  <si>
    <t>InvaderDie_3</t>
  </si>
  <si>
    <t>BlobbyCeilL_0</t>
  </si>
  <si>
    <t>BlobbyCeilR_0</t>
  </si>
  <si>
    <t>BlobbyCeilL_1</t>
  </si>
  <si>
    <t>BlobbyCeilR_1</t>
  </si>
  <si>
    <t>SpringitBodyR_0</t>
  </si>
  <si>
    <t>SpringitBodyL_0</t>
  </si>
  <si>
    <t>SpringitBodyR_1</t>
  </si>
  <si>
    <t>SpringitBodyL_1</t>
  </si>
  <si>
    <t>SpringitBodyR_2</t>
  </si>
  <si>
    <t>SpringitBodyL_2</t>
  </si>
  <si>
    <t>SpringitBodyR_3</t>
  </si>
  <si>
    <t>SpringitBodyL_3</t>
  </si>
  <si>
    <t>SpringitBodyDieR_0</t>
  </si>
  <si>
    <t>SpringitBodyDieL_0</t>
  </si>
  <si>
    <t>SpringitBodyDieR_1</t>
  </si>
  <si>
    <t>SpringitBodyDieL_1</t>
  </si>
  <si>
    <t>SpringitBodyDieR_2</t>
  </si>
  <si>
    <t>SpringitBodyDieL_2</t>
  </si>
  <si>
    <t>SpringitBodyDieR_3</t>
  </si>
  <si>
    <t>SpringitBodyDieL_3</t>
  </si>
  <si>
    <t>SpringitBlast_0</t>
  </si>
  <si>
    <t>SpringitBlast_1</t>
  </si>
  <si>
    <t>SpringitBlast_2</t>
  </si>
  <si>
    <t>SpringitR_0</t>
  </si>
  <si>
    <t>SpringitR_1</t>
  </si>
  <si>
    <t>SpringitR_2</t>
  </si>
  <si>
    <t>SpringitR_3</t>
  </si>
  <si>
    <t>SpringitDieR_0</t>
  </si>
  <si>
    <t>SpringitDieR_1</t>
  </si>
  <si>
    <t>SpringitL_0</t>
  </si>
  <si>
    <t>SpringitL_1</t>
  </si>
  <si>
    <t>SpringitL_2</t>
  </si>
  <si>
    <t>SpringitL_3</t>
  </si>
  <si>
    <t>SpringitDieL_0</t>
  </si>
  <si>
    <t>SpringitDieL_1</t>
  </si>
  <si>
    <t>DOHProjSpin_1</t>
  </si>
  <si>
    <t>DOHProjSpin_2</t>
  </si>
  <si>
    <t>DOHProjSpin_3</t>
  </si>
  <si>
    <t>UNK04_01C4</t>
  </si>
  <si>
    <t>DOHTrapped_0</t>
  </si>
  <si>
    <t>DOHTrapped_1</t>
  </si>
  <si>
    <t>UNK04_01CA</t>
  </si>
  <si>
    <t>UNK04_01CC</t>
  </si>
  <si>
    <t>UNK04_01CE</t>
  </si>
  <si>
    <t>ManticharAngryL_3</t>
  </si>
  <si>
    <t>ManticharAngryR_3</t>
  </si>
  <si>
    <t>TrashFall_0</t>
  </si>
  <si>
    <t>TrashFall_1</t>
  </si>
  <si>
    <t>TrashFall_2</t>
  </si>
  <si>
    <t>UNK04_01DC</t>
  </si>
  <si>
    <t>CarryHeliExitL_0</t>
  </si>
  <si>
    <t>CarryHeliExitR_0</t>
  </si>
  <si>
    <t>CarryHeliExitL_1</t>
  </si>
  <si>
    <t>CarryHeliExitR_1</t>
  </si>
  <si>
    <t>CarryHeliExitL_2</t>
  </si>
  <si>
    <t>CarryHeliExitR_2</t>
  </si>
  <si>
    <t>CarryHeliExitL_3</t>
  </si>
  <si>
    <t>CarryHeliExitR_3</t>
  </si>
  <si>
    <t>KirikabunDie_2</t>
  </si>
  <si>
    <t>KirikabunDie_3</t>
  </si>
  <si>
    <t>UNK04_01F2</t>
  </si>
  <si>
    <t>SkelMonstaSpawn_0</t>
  </si>
  <si>
    <t>SkelMonstaSpawn_1</t>
  </si>
  <si>
    <t>SkelMonstaSpawn_2</t>
  </si>
  <si>
    <t>HeitaiKunPara_0</t>
  </si>
  <si>
    <t>FlarionFlame_1</t>
  </si>
  <si>
    <t>TwizzerSpin_0</t>
  </si>
  <si>
    <t>TwizzerSpin_1</t>
  </si>
  <si>
    <t>TwizzerSpin_2</t>
  </si>
  <si>
    <t>RoboZenL_0</t>
  </si>
  <si>
    <t>RoboZenWindingL_1</t>
  </si>
  <si>
    <t>RoboZenWindingL_2</t>
  </si>
  <si>
    <t>RoboZenWindingL_3</t>
  </si>
  <si>
    <t>RoboZenR_0</t>
  </si>
  <si>
    <t>RoboZenWindingR_1</t>
  </si>
  <si>
    <t>RoboZenWindingR_2</t>
  </si>
  <si>
    <t>RoboZenWindingR_3</t>
  </si>
  <si>
    <t>SnaggerAttackL_3</t>
  </si>
  <si>
    <t>SnaggerAttackR_3</t>
  </si>
  <si>
    <t>KirikabunDie_1</t>
  </si>
  <si>
    <t>Flutterfly_0</t>
  </si>
  <si>
    <t>Flutterfly_1</t>
  </si>
  <si>
    <t>UNK56_0</t>
  </si>
  <si>
    <t>UNK56_1</t>
  </si>
  <si>
    <t>FlutterflyDie_0</t>
  </si>
  <si>
    <t>FlutterflyDie_1</t>
  </si>
  <si>
    <t>FlutterflyDie_2</t>
  </si>
  <si>
    <t>FlutterflyDie_3</t>
  </si>
  <si>
    <t>FlutterflyTrapped_0</t>
  </si>
  <si>
    <t>FlutterflyTrapped_1</t>
  </si>
  <si>
    <t>FlutterflyTrapped_2</t>
  </si>
  <si>
    <t>HeitaiKunPara_1</t>
  </si>
  <si>
    <t>SnaggerDie_0</t>
  </si>
  <si>
    <t>SnaggerDie_1</t>
  </si>
  <si>
    <t>SnaggerDie_2</t>
  </si>
  <si>
    <t>SnaggerDie_3</t>
  </si>
  <si>
    <t>UNK04_0252</t>
  </si>
  <si>
    <t>BlobbyUnderL_0</t>
  </si>
  <si>
    <t>BlobbyUnderL_1</t>
  </si>
  <si>
    <t>BlobbyUnderR_0</t>
  </si>
  <si>
    <t>BlobbyUnderR_1</t>
  </si>
  <si>
    <t>Dummy_Copy</t>
  </si>
  <si>
    <t>PlayerL_Copy</t>
  </si>
  <si>
    <t>PlayerJumpL_0_Copy</t>
  </si>
  <si>
    <t>UNK0B_0_Copy</t>
  </si>
  <si>
    <t>PlayerR_Copy</t>
  </si>
  <si>
    <t>PlayerJumpR_0_Copy</t>
  </si>
  <si>
    <t>UNK0B_1_Copy</t>
  </si>
  <si>
    <t>PlayerRotateL_0_Copy</t>
  </si>
  <si>
    <t>PlayerRotateR_0_Copy</t>
  </si>
  <si>
    <t>Bubble_0_Copy</t>
  </si>
  <si>
    <t>BubblePop_0_Copy</t>
  </si>
  <si>
    <t>BubblePop_1_Copy</t>
  </si>
  <si>
    <t>BubbleEmerge_0_Copy</t>
  </si>
  <si>
    <t>DoubleBubble_2_Copy</t>
  </si>
  <si>
    <t>TripleBubble_2_Copy</t>
  </si>
  <si>
    <t>ThunderBubble_0_Copy</t>
  </si>
  <si>
    <t>ThunderBubble_1_Copy</t>
  </si>
  <si>
    <t>Thunder_Copy</t>
  </si>
  <si>
    <t>DrinkThunder_Copy</t>
  </si>
  <si>
    <t>Shoe_Copy</t>
  </si>
  <si>
    <t>HolyCup_Copy</t>
  </si>
  <si>
    <t>Pencil_Copy</t>
  </si>
  <si>
    <t>Candy_Copy</t>
  </si>
  <si>
    <t>Heart_Copy</t>
  </si>
  <si>
    <t>JrDoll_Copy</t>
  </si>
  <si>
    <t>1UP_Copy</t>
  </si>
  <si>
    <t>SpinyChestnut_Copy</t>
  </si>
  <si>
    <t>SecretDoor_Copy</t>
  </si>
  <si>
    <t>Crystal_Copy</t>
  </si>
  <si>
    <t>StarRod_Copy</t>
  </si>
  <si>
    <t>Clock_Copy</t>
  </si>
  <si>
    <t>Staff_Copy</t>
  </si>
  <si>
    <t>Tree_Copy</t>
  </si>
  <si>
    <t>Parasol_Copy</t>
  </si>
  <si>
    <t>UNK0A_0048</t>
  </si>
  <si>
    <t>TractorMissile_Copy</t>
  </si>
  <si>
    <t>UNK0A_004C</t>
  </si>
  <si>
    <t>UNK122_0_Copy</t>
  </si>
  <si>
    <t>RuckusLAlt_0</t>
  </si>
  <si>
    <t>RuckusLAlt_1</t>
  </si>
  <si>
    <t>RuckusL_0</t>
  </si>
  <si>
    <t>RuckusL_1</t>
  </si>
  <si>
    <t>RuckusRAlt_0</t>
  </si>
  <si>
    <t>RuckusRAlt_1</t>
  </si>
  <si>
    <t>RuckusR_0</t>
  </si>
  <si>
    <t>RuckusR_1</t>
  </si>
  <si>
    <t>UNK0A_0062</t>
  </si>
  <si>
    <t>UNK0A_0064</t>
  </si>
  <si>
    <t>UNK0A_0066</t>
  </si>
  <si>
    <t>RuckusDie_0</t>
  </si>
  <si>
    <t>RuckusDie_1</t>
  </si>
  <si>
    <t>RuckusDie_2</t>
  </si>
  <si>
    <t>RuckusDie_3</t>
  </si>
  <si>
    <t>RuckusDie_4</t>
  </si>
  <si>
    <t>RuckusDie_5</t>
  </si>
  <si>
    <t>RuckusDie_6</t>
  </si>
  <si>
    <t>RuckusDie_7</t>
  </si>
  <si>
    <t>UNK0A_0078</t>
  </si>
  <si>
    <t>UNK0A_007A</t>
  </si>
  <si>
    <t>UNK0A_007C</t>
  </si>
  <si>
    <t>UNK0A_007E</t>
  </si>
  <si>
    <t>UNK0A_0080</t>
  </si>
  <si>
    <t>BurningSkullR_0</t>
  </si>
  <si>
    <t>BurningSkullR_1</t>
  </si>
  <si>
    <t>MadMonkey_0</t>
  </si>
  <si>
    <t>MadMonkey_1</t>
  </si>
  <si>
    <t>Rounder_0</t>
  </si>
  <si>
    <t>Rounder_1</t>
  </si>
  <si>
    <t>RounderFall_0</t>
  </si>
  <si>
    <t>RounderFall_1</t>
  </si>
  <si>
    <t>RounderHang_0</t>
  </si>
  <si>
    <t>RounderHang_1</t>
  </si>
  <si>
    <t>RounderTrappedAlt_0</t>
  </si>
  <si>
    <t>RounderTrappedAlt_1</t>
  </si>
  <si>
    <t>RounderDie_0</t>
  </si>
  <si>
    <t>RounderDie_1</t>
  </si>
  <si>
    <t>RounderDie_2</t>
  </si>
  <si>
    <t>RounderDie_3</t>
  </si>
  <si>
    <t>Roc_0</t>
  </si>
  <si>
    <t>Roc_1</t>
  </si>
  <si>
    <t>Roc_6</t>
  </si>
  <si>
    <t>Roc_7</t>
  </si>
  <si>
    <t>RocShoot_0</t>
  </si>
  <si>
    <t>PlayerRotateR_2_Copy</t>
  </si>
  <si>
    <t>PlayerRotateL_2_Copy</t>
  </si>
  <si>
    <t>RocShoot_1</t>
  </si>
  <si>
    <t>BurningSkullL_0</t>
  </si>
  <si>
    <t>BurningSkullL_1</t>
  </si>
  <si>
    <t>SuperDrunkL_0</t>
  </si>
  <si>
    <t>SuperDrunkL_1</t>
  </si>
  <si>
    <t>SuperDrunkL_2</t>
  </si>
  <si>
    <t>SuperDrunkL_3</t>
  </si>
  <si>
    <t>SuperDrunkR_0</t>
  </si>
  <si>
    <t>SuperDrunkR_1</t>
  </si>
  <si>
    <t>SuperDrunkR_2</t>
  </si>
  <si>
    <t>SuperDrunkR_3</t>
  </si>
  <si>
    <t>FinalSkullL_0</t>
  </si>
  <si>
    <t>FinalSkullL_1</t>
  </si>
  <si>
    <t>FinalSkullDie_0</t>
  </si>
  <si>
    <t>FinalSkullR_0</t>
  </si>
  <si>
    <t>FinalSkullR_1</t>
  </si>
  <si>
    <t>FinalSkullDie_1</t>
  </si>
  <si>
    <t>RocDie_1</t>
  </si>
  <si>
    <t>UNK0A_00F4</t>
  </si>
  <si>
    <t>UNK0A_00F6</t>
  </si>
  <si>
    <t>UNK0A_00F8</t>
  </si>
  <si>
    <t>UNK0A_00FA</t>
  </si>
  <si>
    <t>StarAlt_Copy</t>
  </si>
  <si>
    <t>UNK122_1_Copy</t>
  </si>
  <si>
    <t>Bubble_1_Copy</t>
  </si>
  <si>
    <t>PlayerRoundStart_0_Copy</t>
  </si>
  <si>
    <t>PlayerRoundStart_1_Copy</t>
  </si>
  <si>
    <t>UNK140_Copy</t>
  </si>
  <si>
    <t>UNK141_Copy</t>
  </si>
  <si>
    <t>FloodHAlt_Copy</t>
  </si>
  <si>
    <t>FloodV_Copy</t>
  </si>
  <si>
    <t>UNK0A_0110</t>
  </si>
  <si>
    <t>UNK0A_0112</t>
  </si>
  <si>
    <t>UNK0A_0114</t>
  </si>
  <si>
    <t>UNK0A_0116</t>
  </si>
  <si>
    <t>PlayerGameOver_0_Copy</t>
  </si>
  <si>
    <t>PlayerGameOver_1_Copy</t>
  </si>
  <si>
    <t>PlayerContinue_Copy</t>
  </si>
  <si>
    <t>SnowFall_2_Copy</t>
  </si>
  <si>
    <t>SnowFall_3_Copy</t>
  </si>
  <si>
    <t>SnowFall_0_Copy</t>
  </si>
  <si>
    <t>SnowSpread_0_Copy</t>
  </si>
  <si>
    <t>SnowSpread_1_Copy</t>
  </si>
  <si>
    <t>SnowSpread_2_Copy</t>
  </si>
  <si>
    <t>SnowFall_1_Copy</t>
  </si>
  <si>
    <t>PlayerSmallWalkL_0</t>
  </si>
  <si>
    <t>PlayerSmallWalkR_0</t>
  </si>
  <si>
    <t>PlayerSmallWalkL_1</t>
  </si>
  <si>
    <t>PlayerSmallWalkR_1</t>
  </si>
  <si>
    <t>UNK0A_0136</t>
  </si>
  <si>
    <t>UNK0A_0138</t>
  </si>
  <si>
    <t>UNK0A_013A</t>
  </si>
  <si>
    <t>UNK0A_013C</t>
  </si>
  <si>
    <t>UNK0A_013E</t>
  </si>
  <si>
    <t>UNK0A_0140</t>
  </si>
  <si>
    <t>UNK0A_0142</t>
  </si>
  <si>
    <t>UNK0A_0144</t>
  </si>
  <si>
    <t>UNK0A_0146</t>
  </si>
  <si>
    <t>UNK0A_0148</t>
  </si>
  <si>
    <t>UNK0A_014A</t>
  </si>
  <si>
    <t>UNK0A_014C</t>
  </si>
  <si>
    <t>UNK0A_014E</t>
  </si>
  <si>
    <t>UNK0A_0150</t>
  </si>
  <si>
    <t>UNK0A_0152</t>
  </si>
  <si>
    <t>UNK0A_0154</t>
  </si>
  <si>
    <t>UNK0A_0156</t>
  </si>
  <si>
    <t>UNK0A_0158</t>
  </si>
  <si>
    <t>UNK0A_015A</t>
  </si>
  <si>
    <t>UNK0A_015C</t>
  </si>
  <si>
    <t>UNK0A_015E</t>
  </si>
  <si>
    <t>UNK0A_0160</t>
  </si>
  <si>
    <t>Fairy015E_0</t>
  </si>
  <si>
    <t>Fairy015F_1</t>
  </si>
  <si>
    <t>FairyFlyL_2</t>
  </si>
  <si>
    <t>Fairy015E_1</t>
  </si>
  <si>
    <t>Fairy0161_0</t>
  </si>
  <si>
    <t>FinalSkelMonstaSpawn_2</t>
  </si>
  <si>
    <t>FinalSkelMonstaSpawn_1</t>
  </si>
  <si>
    <t>FinalSkelMonstaSpawn_0</t>
  </si>
  <si>
    <t>FinalSkelMonstaL_0</t>
  </si>
  <si>
    <t>FinalSkelMonstaL_1</t>
  </si>
  <si>
    <t>FinalSkelMonstaR_0</t>
  </si>
  <si>
    <t>FinalSkelMonstaR_1</t>
  </si>
  <si>
    <t>BonusBall_0</t>
  </si>
  <si>
    <t>BonusBall_1</t>
  </si>
  <si>
    <t>BonusBall_2</t>
  </si>
  <si>
    <t>BonusBall_3</t>
  </si>
  <si>
    <t>BonusHead_0</t>
  </si>
  <si>
    <t>BonusHead_1</t>
  </si>
  <si>
    <t>BonusHand_0</t>
  </si>
  <si>
    <t>BonusHand_1</t>
  </si>
  <si>
    <t>BonusHandUpLeft_0</t>
  </si>
  <si>
    <t>BonusHandUpLeft_1</t>
  </si>
  <si>
    <t>BonusHandDownRight_0</t>
  </si>
  <si>
    <t>BonusHandDownRight_1</t>
  </si>
  <si>
    <t>BonusHandDownLeft_0</t>
  </si>
  <si>
    <t>BonusHandDownLeft_1</t>
  </si>
  <si>
    <t>IntroSkull_0</t>
  </si>
  <si>
    <t>IntroSkull_1</t>
  </si>
  <si>
    <t>Spell_0</t>
  </si>
  <si>
    <t>Spell_1</t>
  </si>
  <si>
    <t>IntroJudyShout_1</t>
  </si>
  <si>
    <t>IntroJudyShout_0</t>
  </si>
  <si>
    <t>IntroDrunksWalkL_0</t>
  </si>
  <si>
    <t>IntroDrunksWalkL_1</t>
  </si>
  <si>
    <t>IntroDrunksWalkL_2</t>
  </si>
  <si>
    <t>IntroDrunksWalkL_3</t>
  </si>
  <si>
    <t>IntroDrunksWalkR_0</t>
  </si>
  <si>
    <t>IntroDrunksWalkR_1</t>
  </si>
  <si>
    <t>IntroDrunksWalkR_2</t>
  </si>
  <si>
    <t>IntroDrunksWalkR_3</t>
  </si>
  <si>
    <t>BarcelonL_0</t>
  </si>
  <si>
    <t>BarcelonL_1</t>
  </si>
  <si>
    <t>BarcelonL_2</t>
  </si>
  <si>
    <t>BarcelonLoseL_0</t>
  </si>
  <si>
    <t>BarcelonLoseL_1</t>
  </si>
  <si>
    <t>BarcelonR_0</t>
  </si>
  <si>
    <t>BarcelonR_1</t>
  </si>
  <si>
    <t>BarcelonR_2</t>
  </si>
  <si>
    <t>BarcelonLoseR_0</t>
  </si>
  <si>
    <t>BarcelonLoseR_1</t>
  </si>
  <si>
    <t>JudyWalkR_1</t>
  </si>
  <si>
    <t>008270</t>
  </si>
  <si>
    <t>008276</t>
  </si>
  <si>
    <t>00828F</t>
  </si>
  <si>
    <t>0082A8</t>
  </si>
  <si>
    <t>0082C1</t>
  </si>
  <si>
    <t>0082DA</t>
  </si>
  <si>
    <t>0082F3</t>
  </si>
  <si>
    <t>00830C</t>
  </si>
  <si>
    <t>008325</t>
  </si>
  <si>
    <t>0096A9</t>
  </si>
  <si>
    <t>0096B2</t>
  </si>
  <si>
    <t>0083D3</t>
  </si>
  <si>
    <t>0083E5</t>
  </si>
  <si>
    <t>0083EE</t>
  </si>
  <si>
    <t>0083F7</t>
  </si>
  <si>
    <t>008400</t>
  </si>
  <si>
    <t>008411</t>
  </si>
  <si>
    <t>0094CC</t>
  </si>
  <si>
    <t>0094D5</t>
  </si>
  <si>
    <t>0094DE</t>
  </si>
  <si>
    <t>0094E7</t>
  </si>
  <si>
    <t>0095DE</t>
  </si>
  <si>
    <t>0095E7</t>
  </si>
  <si>
    <t>0095F0</t>
  </si>
  <si>
    <t>0095F9</t>
  </si>
  <si>
    <t>009602</t>
  </si>
  <si>
    <t>00960B</t>
  </si>
  <si>
    <t>009614</t>
  </si>
  <si>
    <t>00961D</t>
  </si>
  <si>
    <t>009626</t>
  </si>
  <si>
    <t>00962F</t>
  </si>
  <si>
    <t>009638</t>
  </si>
  <si>
    <t>009641</t>
  </si>
  <si>
    <t>00964A</t>
  </si>
  <si>
    <t>009653</t>
  </si>
  <si>
    <t>00965C</t>
  </si>
  <si>
    <t>009665</t>
  </si>
  <si>
    <t>00966E</t>
  </si>
  <si>
    <t>0094F0</t>
  </si>
  <si>
    <t>009697</t>
  </si>
  <si>
    <t>00846C</t>
  </si>
  <si>
    <t>008475</t>
  </si>
  <si>
    <t>00847E</t>
  </si>
  <si>
    <t>008487</t>
  </si>
  <si>
    <t>008490</t>
  </si>
  <si>
    <t>008499</t>
  </si>
  <si>
    <t>0084A2</t>
  </si>
  <si>
    <t>0084AB</t>
  </si>
  <si>
    <t>0084B4</t>
  </si>
  <si>
    <t>0084BD</t>
  </si>
  <si>
    <t>0084C6</t>
  </si>
  <si>
    <t>0084CF</t>
  </si>
  <si>
    <t>0084D8</t>
  </si>
  <si>
    <t>0084E1</t>
  </si>
  <si>
    <t>0084EA</t>
  </si>
  <si>
    <t>0084F3</t>
  </si>
  <si>
    <t>0084FC</t>
  </si>
  <si>
    <t>008505</t>
  </si>
  <si>
    <t>00850E</t>
  </si>
  <si>
    <t>008517</t>
  </si>
  <si>
    <t>008520</t>
  </si>
  <si>
    <t>008529</t>
  </si>
  <si>
    <t>008532</t>
  </si>
  <si>
    <t>00853B</t>
  </si>
  <si>
    <t>008544</t>
  </si>
  <si>
    <t>00854D</t>
  </si>
  <si>
    <t>008556</t>
  </si>
  <si>
    <t>00855F</t>
  </si>
  <si>
    <t>008568</t>
  </si>
  <si>
    <t>008571</t>
  </si>
  <si>
    <t>00857A</t>
  </si>
  <si>
    <t>008583</t>
  </si>
  <si>
    <t>00858C</t>
  </si>
  <si>
    <t>008595</t>
  </si>
  <si>
    <t>00859E</t>
  </si>
  <si>
    <t>0085AF</t>
  </si>
  <si>
    <t>0085C0</t>
  </si>
  <si>
    <t>0085D1</t>
  </si>
  <si>
    <t>0085E2</t>
  </si>
  <si>
    <t>0085F3</t>
  </si>
  <si>
    <t>008618</t>
  </si>
  <si>
    <t>00863D</t>
  </si>
  <si>
    <t>00866E</t>
  </si>
  <si>
    <t>00874B</t>
  </si>
  <si>
    <t>00869F</t>
  </si>
  <si>
    <t>0086C4</t>
  </si>
  <si>
    <t>0086E9</t>
  </si>
  <si>
    <t>00871A</t>
  </si>
  <si>
    <t>00877C</t>
  </si>
  <si>
    <t>00833E</t>
  </si>
  <si>
    <t>008357</t>
  </si>
  <si>
    <t>008FA0</t>
  </si>
  <si>
    <t>008FA5</t>
  </si>
  <si>
    <t>0087AD</t>
  </si>
  <si>
    <t>0087CE</t>
  </si>
  <si>
    <t>0087EF</t>
  </si>
  <si>
    <t>008810</t>
  </si>
  <si>
    <t>008831</t>
  </si>
  <si>
    <t>008852</t>
  </si>
  <si>
    <t>008873</t>
  </si>
  <si>
    <t>008894</t>
  </si>
  <si>
    <t>0088B5</t>
  </si>
  <si>
    <t>0088D6</t>
  </si>
  <si>
    <t>008967</t>
  </si>
  <si>
    <t>008990</t>
  </si>
  <si>
    <t>0089A9</t>
  </si>
  <si>
    <t>0089BA</t>
  </si>
  <si>
    <t>0089C3</t>
  </si>
  <si>
    <t>0089C8</t>
  </si>
  <si>
    <t>0089F1</t>
  </si>
  <si>
    <t>008A0A</t>
  </si>
  <si>
    <t>008A1B</t>
  </si>
  <si>
    <t>008A24</t>
  </si>
  <si>
    <t>008A29</t>
  </si>
  <si>
    <t>008A33</t>
  </si>
  <si>
    <t>008A4C</t>
  </si>
  <si>
    <t>008A65</t>
  </si>
  <si>
    <t>008A7E</t>
  </si>
  <si>
    <t>008A97</t>
  </si>
  <si>
    <t>008AB0</t>
  </si>
  <si>
    <t>008AC9</t>
  </si>
  <si>
    <t>008AE2</t>
  </si>
  <si>
    <t>009551</t>
  </si>
  <si>
    <t>009563</t>
  </si>
  <si>
    <t>009575</t>
  </si>
  <si>
    <t>00958F</t>
  </si>
  <si>
    <t>0095A9</t>
  </si>
  <si>
    <t>0096A0</t>
  </si>
  <si>
    <t>0083DC</t>
  </si>
  <si>
    <t>00842A</t>
  </si>
  <si>
    <t>00844B</t>
  </si>
  <si>
    <t>0095B2</t>
  </si>
  <si>
    <t>0095BF</t>
  </si>
  <si>
    <t>0095CC</t>
  </si>
  <si>
    <t>0095D5</t>
  </si>
  <si>
    <t>009501</t>
  </si>
  <si>
    <t>00955A</t>
  </si>
  <si>
    <t>00956C</t>
  </si>
  <si>
    <t>009582</t>
  </si>
  <si>
    <t>00959C</t>
  </si>
  <si>
    <t>008370</t>
  </si>
  <si>
    <t>008391</t>
  </si>
  <si>
    <t>0083B2</t>
  </si>
  <si>
    <t>00953F</t>
  </si>
  <si>
    <t>009548</t>
  </si>
  <si>
    <t>009536</t>
  </si>
  <si>
    <t>009512</t>
  </si>
  <si>
    <t>00951B</t>
  </si>
  <si>
    <t>009524</t>
  </si>
  <si>
    <t>00952D</t>
  </si>
  <si>
    <t>008E23</t>
  </si>
  <si>
    <t>008E48</t>
  </si>
  <si>
    <t>008E61</t>
  </si>
  <si>
    <t>008E6E</t>
  </si>
  <si>
    <t>008E87</t>
  </si>
  <si>
    <t>008EA0</t>
  </si>
  <si>
    <t>008EB9</t>
  </si>
  <si>
    <t>008ED2</t>
  </si>
  <si>
    <t>008EEB</t>
  </si>
  <si>
    <t>008F04</t>
  </si>
  <si>
    <t>008F1D</t>
  </si>
  <si>
    <t>008F36</t>
  </si>
  <si>
    <t>008F43</t>
  </si>
  <si>
    <t>008F50</t>
  </si>
  <si>
    <t>008F5D</t>
  </si>
  <si>
    <t>008F6A</t>
  </si>
  <si>
    <t>008F73</t>
  </si>
  <si>
    <t>008F7C</t>
  </si>
  <si>
    <t>008F85</t>
  </si>
  <si>
    <t>008F8E</t>
  </si>
  <si>
    <t>008F97</t>
  </si>
  <si>
    <t>008FAA</t>
  </si>
  <si>
    <t>008FB3</t>
  </si>
  <si>
    <t>008FBC</t>
  </si>
  <si>
    <t>008FC5</t>
  </si>
  <si>
    <t>008FCE</t>
  </si>
  <si>
    <t>008FD7</t>
  </si>
  <si>
    <t>008FE0</t>
  </si>
  <si>
    <t>008FE9</t>
  </si>
  <si>
    <t>009673</t>
  </si>
  <si>
    <t>00967C</t>
  </si>
  <si>
    <t>009685</t>
  </si>
  <si>
    <t>00968E</t>
  </si>
  <si>
    <t>008FF2</t>
  </si>
  <si>
    <t>009013</t>
  </si>
  <si>
    <t>009034</t>
  </si>
  <si>
    <t>009055</t>
  </si>
  <si>
    <t>009076</t>
  </si>
  <si>
    <t>009097</t>
  </si>
  <si>
    <t>0090B8</t>
  </si>
  <si>
    <t>0090D9</t>
  </si>
  <si>
    <t>0090FA</t>
  </si>
  <si>
    <t>00911B</t>
  </si>
  <si>
    <t>00913C</t>
  </si>
  <si>
    <t>00915D</t>
  </si>
  <si>
    <t>00917E</t>
  </si>
  <si>
    <t>00919F</t>
  </si>
  <si>
    <t>0091C0</t>
  </si>
  <si>
    <t>0091E1</t>
  </si>
  <si>
    <t>009202</t>
  </si>
  <si>
    <t>00920B</t>
  </si>
  <si>
    <t>00922C</t>
  </si>
  <si>
    <t>00924D</t>
  </si>
  <si>
    <t>009272</t>
  </si>
  <si>
    <t>009297</t>
  </si>
  <si>
    <t>0092BC</t>
  </si>
  <si>
    <t>0092E1</t>
  </si>
  <si>
    <t>0092EE</t>
  </si>
  <si>
    <t>0092FB</t>
  </si>
  <si>
    <t>009320</t>
  </si>
  <si>
    <t>009345</t>
  </si>
  <si>
    <t>00936A</t>
  </si>
  <si>
    <t>00938F</t>
  </si>
  <si>
    <t>00939C</t>
  </si>
  <si>
    <t>0093A9</t>
  </si>
  <si>
    <t>0093BA</t>
  </si>
  <si>
    <t>0093CB</t>
  </si>
  <si>
    <t>0093DC</t>
  </si>
  <si>
    <t>0093ED</t>
  </si>
  <si>
    <t>0093FE</t>
  </si>
  <si>
    <t>00940F</t>
  </si>
  <si>
    <t>009420</t>
  </si>
  <si>
    <t>009472</t>
  </si>
  <si>
    <t>00947B</t>
  </si>
  <si>
    <t>009484</t>
  </si>
  <si>
    <t>00948D</t>
  </si>
  <si>
    <t>009496</t>
  </si>
  <si>
    <t>00949F</t>
  </si>
  <si>
    <t>0094A8</t>
  </si>
  <si>
    <t>0094B1</t>
  </si>
  <si>
    <t>0094BA</t>
  </si>
  <si>
    <t>0094C3</t>
  </si>
  <si>
    <t>008AFB</t>
  </si>
  <si>
    <t>008B14</t>
  </si>
  <si>
    <t>0096BB</t>
  </si>
  <si>
    <t>0096D4</t>
  </si>
  <si>
    <t>0096F5</t>
  </si>
  <si>
    <t>009716</t>
  </si>
  <si>
    <t>009737</t>
  </si>
  <si>
    <t>0088F7</t>
  </si>
  <si>
    <t>008910</t>
  </si>
  <si>
    <t>008929</t>
  </si>
  <si>
    <t>00893A</t>
  </si>
  <si>
    <t>00894B</t>
  </si>
  <si>
    <t>008954</t>
  </si>
  <si>
    <t>00895D</t>
  </si>
  <si>
    <t>008962</t>
  </si>
  <si>
    <t>008D6E</t>
  </si>
  <si>
    <t>008D4D</t>
  </si>
  <si>
    <t>009740</t>
  </si>
  <si>
    <t>009761</t>
  </si>
  <si>
    <t>009772</t>
  </si>
  <si>
    <t>009783</t>
  </si>
  <si>
    <t>009788</t>
  </si>
  <si>
    <t>009799</t>
  </si>
  <si>
    <t>008A2E</t>
  </si>
  <si>
    <t>008D8F</t>
  </si>
  <si>
    <t>008DB4</t>
  </si>
  <si>
    <t>008DD9</t>
  </si>
  <si>
    <t>008DFE</t>
  </si>
  <si>
    <t>008B2D</t>
  </si>
  <si>
    <t>008B52</t>
  </si>
  <si>
    <t>008B77</t>
  </si>
  <si>
    <t>008B9C</t>
  </si>
  <si>
    <t>008BC1</t>
  </si>
  <si>
    <t>008BE6</t>
  </si>
  <si>
    <t>008C0B</t>
  </si>
  <si>
    <t>008C30</t>
  </si>
  <si>
    <t>008C55</t>
  </si>
  <si>
    <t>008C7A</t>
  </si>
  <si>
    <t>0097BB</t>
  </si>
  <si>
    <t>0097EC</t>
  </si>
  <si>
    <t>008C9F</t>
  </si>
  <si>
    <t>008CC0</t>
  </si>
  <si>
    <t>008CE1</t>
  </si>
  <si>
    <t>008D02</t>
  </si>
  <si>
    <t>008D07</t>
  </si>
  <si>
    <t>008D0C</t>
  </si>
  <si>
    <t>008D11</t>
  </si>
  <si>
    <t>008D16</t>
  </si>
  <si>
    <t>008D1B</t>
  </si>
  <si>
    <t>008D24</t>
  </si>
  <si>
    <t>008D29</t>
  </si>
  <si>
    <t>008D32</t>
  </si>
  <si>
    <t>008D3B</t>
  </si>
  <si>
    <t>008D44</t>
  </si>
  <si>
    <t>0097AA</t>
  </si>
  <si>
    <t>00981D</t>
  </si>
  <si>
    <t>00984E</t>
  </si>
  <si>
    <t>00987F</t>
  </si>
  <si>
    <t>0098B0</t>
  </si>
  <si>
    <t>0098E1</t>
  </si>
  <si>
    <t>009902</t>
  </si>
  <si>
    <t>009927</t>
  </si>
  <si>
    <t>00994C</t>
  </si>
  <si>
    <t>009969</t>
  </si>
  <si>
    <t>00997A</t>
  </si>
  <si>
    <t>009983</t>
  </si>
  <si>
    <t>00998C</t>
  </si>
  <si>
    <t>009995</t>
  </si>
  <si>
    <t>00999E</t>
  </si>
  <si>
    <t>014210</t>
  </si>
  <si>
    <t>014216</t>
  </si>
  <si>
    <t>01422F</t>
  </si>
  <si>
    <t>014248</t>
  </si>
  <si>
    <t>014261</t>
  </si>
  <si>
    <t>01427A</t>
  </si>
  <si>
    <t>014293</t>
  </si>
  <si>
    <t>0159E2</t>
  </si>
  <si>
    <t>0159FB</t>
  </si>
  <si>
    <t>015A46</t>
  </si>
  <si>
    <t>015A4F</t>
  </si>
  <si>
    <t>0142EE</t>
  </si>
  <si>
    <t>014300</t>
  </si>
  <si>
    <t>014309</t>
  </si>
  <si>
    <t>014312</t>
  </si>
  <si>
    <t>01431B</t>
  </si>
  <si>
    <t>01432C</t>
  </si>
  <si>
    <t>0150E1</t>
  </si>
  <si>
    <t>0150EA</t>
  </si>
  <si>
    <t>0150F3</t>
  </si>
  <si>
    <t>0150FC</t>
  </si>
  <si>
    <t>015126</t>
  </si>
  <si>
    <t>01512F</t>
  </si>
  <si>
    <t>015138</t>
  </si>
  <si>
    <t>015141</t>
  </si>
  <si>
    <t>01514A</t>
  </si>
  <si>
    <t>015153</t>
  </si>
  <si>
    <t>01515C</t>
  </si>
  <si>
    <t>015165</t>
  </si>
  <si>
    <t>01516E</t>
  </si>
  <si>
    <t>015177</t>
  </si>
  <si>
    <t>015180</t>
  </si>
  <si>
    <t>015189</t>
  </si>
  <si>
    <t>015192</t>
  </si>
  <si>
    <t>01519B</t>
  </si>
  <si>
    <t>0151A4</t>
  </si>
  <si>
    <t>0151AD</t>
  </si>
  <si>
    <t>0151B6</t>
  </si>
  <si>
    <t>015105</t>
  </si>
  <si>
    <t>014387</t>
  </si>
  <si>
    <t>0143C4</t>
  </si>
  <si>
    <t>014401</t>
  </si>
  <si>
    <t>01443E</t>
  </si>
  <si>
    <t>01447B</t>
  </si>
  <si>
    <t>0144B8</t>
  </si>
  <si>
    <t>0144F5</t>
  </si>
  <si>
    <t>014532</t>
  </si>
  <si>
    <t>01456F</t>
  </si>
  <si>
    <t>014578</t>
  </si>
  <si>
    <t>014581</t>
  </si>
  <si>
    <t>01458A</t>
  </si>
  <si>
    <t>014593</t>
  </si>
  <si>
    <t>01459C</t>
  </si>
  <si>
    <t>0145A5</t>
  </si>
  <si>
    <t>0145B6</t>
  </si>
  <si>
    <t>0145C7</t>
  </si>
  <si>
    <t>0145D8</t>
  </si>
  <si>
    <t>0145E9</t>
  </si>
  <si>
    <t>0145FA</t>
  </si>
  <si>
    <t>01460B</t>
  </si>
  <si>
    <t>014648</t>
  </si>
  <si>
    <t>014685</t>
  </si>
  <si>
    <t>0146C2</t>
  </si>
  <si>
    <t>0146FF</t>
  </si>
  <si>
    <t>014BE4</t>
  </si>
  <si>
    <t>014BFD</t>
  </si>
  <si>
    <t>014C16</t>
  </si>
  <si>
    <t>0147F3</t>
  </si>
  <si>
    <t>014824</t>
  </si>
  <si>
    <t>014855</t>
  </si>
  <si>
    <t>014886</t>
  </si>
  <si>
    <t>0148B7</t>
  </si>
  <si>
    <t>0148C8</t>
  </si>
  <si>
    <t>0148D9</t>
  </si>
  <si>
    <t>0148EA</t>
  </si>
  <si>
    <t>0148FB</t>
  </si>
  <si>
    <t>01490C</t>
  </si>
  <si>
    <t>01491D</t>
  </si>
  <si>
    <t>014926</t>
  </si>
  <si>
    <t>01492F</t>
  </si>
  <si>
    <t>014938</t>
  </si>
  <si>
    <t>014941</t>
  </si>
  <si>
    <t>01494A</t>
  </si>
  <si>
    <t>014953</t>
  </si>
  <si>
    <t>014990</t>
  </si>
  <si>
    <t>0149CD</t>
  </si>
  <si>
    <t>014A0A</t>
  </si>
  <si>
    <t>014A47</t>
  </si>
  <si>
    <t>015A14</t>
  </si>
  <si>
    <t>015A2D</t>
  </si>
  <si>
    <t>014AFE</t>
  </si>
  <si>
    <t>014B3B</t>
  </si>
  <si>
    <t>014B99</t>
  </si>
  <si>
    <t>014BB2</t>
  </si>
  <si>
    <t>014BCB</t>
  </si>
  <si>
    <t>014C2F</t>
  </si>
  <si>
    <t>014C38</t>
  </si>
  <si>
    <t>014C41</t>
  </si>
  <si>
    <t>014C53</t>
  </si>
  <si>
    <t>014CA4</t>
  </si>
  <si>
    <t>014CF5</t>
  </si>
  <si>
    <t>014D46</t>
  </si>
  <si>
    <t>014D97</t>
  </si>
  <si>
    <t>014DA0</t>
  </si>
  <si>
    <t>014DA5</t>
  </si>
  <si>
    <t>014DAA</t>
  </si>
  <si>
    <t>014DAF</t>
  </si>
  <si>
    <t>014E00</t>
  </si>
  <si>
    <t>014E51</t>
  </si>
  <si>
    <t>014EA2</t>
  </si>
  <si>
    <t>014EF3</t>
  </si>
  <si>
    <t>014F44</t>
  </si>
  <si>
    <t>014F95</t>
  </si>
  <si>
    <t>015859</t>
  </si>
  <si>
    <t>014FEA</t>
  </si>
  <si>
    <t>01503B</t>
  </si>
  <si>
    <t>01508C</t>
  </si>
  <si>
    <t>01587A</t>
  </si>
  <si>
    <t>0151BB</t>
  </si>
  <si>
    <t>014C4A</t>
  </si>
  <si>
    <t>014B5C</t>
  </si>
  <si>
    <t>015203</t>
  </si>
  <si>
    <t>015214</t>
  </si>
  <si>
    <t>015225</t>
  </si>
  <si>
    <t>01523E</t>
  </si>
  <si>
    <t>015257</t>
  </si>
  <si>
    <t>0142F7</t>
  </si>
  <si>
    <t>014345</t>
  </si>
  <si>
    <t>014366</t>
  </si>
  <si>
    <t>015260</t>
  </si>
  <si>
    <t>01526D</t>
  </si>
  <si>
    <t>01527A</t>
  </si>
  <si>
    <t>015283</t>
  </si>
  <si>
    <t>015437</t>
  </si>
  <si>
    <t>014A84</t>
  </si>
  <si>
    <t>014AC1</t>
  </si>
  <si>
    <t>01528C</t>
  </si>
  <si>
    <t>0152AD</t>
  </si>
  <si>
    <t>0152CE</t>
  </si>
  <si>
    <t>0151F1</t>
  </si>
  <si>
    <t>0151FA</t>
  </si>
  <si>
    <t>0151E8</t>
  </si>
  <si>
    <t>0151C4</t>
  </si>
  <si>
    <t>0151CD</t>
  </si>
  <si>
    <t>0151D6</t>
  </si>
  <si>
    <t>0151DF</t>
  </si>
  <si>
    <t>015A58</t>
  </si>
  <si>
    <t>015A61</t>
  </si>
  <si>
    <t>015A6A</t>
  </si>
  <si>
    <t>015A73</t>
  </si>
  <si>
    <t>0159C9</t>
  </si>
  <si>
    <t>0159B0</t>
  </si>
  <si>
    <t>0152EF</t>
  </si>
  <si>
    <t>015310</t>
  </si>
  <si>
    <t>015331</t>
  </si>
  <si>
    <t>015352</t>
  </si>
  <si>
    <t>015373</t>
  </si>
  <si>
    <t>015394</t>
  </si>
  <si>
    <t>015986</t>
  </si>
  <si>
    <t>01599B</t>
  </si>
  <si>
    <t>0153B5</t>
  </si>
  <si>
    <t>0153CE</t>
  </si>
  <si>
    <t>0153E7</t>
  </si>
  <si>
    <t>0153EC</t>
  </si>
  <si>
    <t>0153FD</t>
  </si>
  <si>
    <t>01540E</t>
  </si>
  <si>
    <t>015413</t>
  </si>
  <si>
    <t>01541C</t>
  </si>
  <si>
    <t>015425</t>
  </si>
  <si>
    <t>01542E</t>
  </si>
  <si>
    <t>015440</t>
  </si>
  <si>
    <t>015449</t>
  </si>
  <si>
    <t>015452</t>
  </si>
  <si>
    <t>01545B</t>
  </si>
  <si>
    <t>015464</t>
  </si>
  <si>
    <t>015485</t>
  </si>
  <si>
    <t>0154A6</t>
  </si>
  <si>
    <t>0154AF</t>
  </si>
  <si>
    <t>0154B8</t>
  </si>
  <si>
    <t>0154C1</t>
  </si>
  <si>
    <t>0154CA</t>
  </si>
  <si>
    <t>0154D3</t>
  </si>
  <si>
    <t>0154DC</t>
  </si>
  <si>
    <t>0154E5</t>
  </si>
  <si>
    <t>0154EE</t>
  </si>
  <si>
    <t>015507</t>
  </si>
  <si>
    <t>015520</t>
  </si>
  <si>
    <t>015531</t>
  </si>
  <si>
    <t>015536</t>
  </si>
  <si>
    <t>01553B</t>
  </si>
  <si>
    <t>015554</t>
  </si>
  <si>
    <t>015575</t>
  </si>
  <si>
    <t>0155A6</t>
  </si>
  <si>
    <t>0155D7</t>
  </si>
  <si>
    <t>015608</t>
  </si>
  <si>
    <t>015639</t>
  </si>
  <si>
    <t>01566A</t>
  </si>
  <si>
    <t>01569B</t>
  </si>
  <si>
    <t>0156CC</t>
  </si>
  <si>
    <t>0156FD</t>
  </si>
  <si>
    <t>01572E</t>
  </si>
  <si>
    <t>01575F</t>
  </si>
  <si>
    <t>015778</t>
  </si>
  <si>
    <t>015791</t>
  </si>
  <si>
    <t>0157AA</t>
  </si>
  <si>
    <t>0157C3</t>
  </si>
  <si>
    <t>0157DC</t>
  </si>
  <si>
    <t>0157F5</t>
  </si>
  <si>
    <t>01580E</t>
  </si>
  <si>
    <t>015827</t>
  </si>
  <si>
    <t>015840</t>
  </si>
  <si>
    <t>01589B</t>
  </si>
  <si>
    <t>0158B4</t>
  </si>
  <si>
    <t>0158CD</t>
  </si>
  <si>
    <t>0158E2</t>
  </si>
  <si>
    <t>0158F7</t>
  </si>
  <si>
    <t>01590C</t>
  </si>
  <si>
    <t>01591D</t>
  </si>
  <si>
    <t>015926</t>
  </si>
  <si>
    <t>01593B</t>
  </si>
  <si>
    <t>015954</t>
  </si>
  <si>
    <t>015959</t>
  </si>
  <si>
    <t>01595E</t>
  </si>
  <si>
    <t>015963</t>
  </si>
  <si>
    <t>015968</t>
  </si>
  <si>
    <t>01596D</t>
  </si>
  <si>
    <t>015972</t>
  </si>
  <si>
    <t>015977</t>
  </si>
  <si>
    <t>01597C</t>
  </si>
  <si>
    <t>015981</t>
  </si>
  <si>
    <t>Unlisted</t>
  </si>
  <si>
    <t>009431</t>
  </si>
  <si>
    <t>0142AC</t>
  </si>
  <si>
    <t>01473C</t>
  </si>
  <si>
    <t>014779</t>
  </si>
  <si>
    <t>0147B6</t>
  </si>
  <si>
    <t>Unlisted_04B421</t>
  </si>
  <si>
    <t>Unlisted_0AA29C</t>
  </si>
  <si>
    <t>Unlisted_0AA72C</t>
  </si>
  <si>
    <t>Unlisted_0AA769</t>
  </si>
  <si>
    <t>Unlisted_0AA7A6</t>
  </si>
  <si>
    <t>0142CD</t>
  </si>
  <si>
    <t>Unlisted_0AA2BD</t>
  </si>
  <si>
    <t>ZenChan turn L (6C in JP)</t>
  </si>
  <si>
    <t>DOH trapped (69 in JP)</t>
  </si>
  <si>
    <t>ZenChan turn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</si>
</sst>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49" fontId="0" fillId="0" borderId="2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2" xfId="0" applyNumberFormat="1" applyFont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49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M412" totalsRowShown="0" headerRowDxfId="24" dataDxfId="23">
  <autoFilter ref="A1:M412"/>
  <tableColumns count="13">
    <tableColumn id="1" name="id" dataDxfId="22"/>
    <tableColumn id="2" name="idh" dataDxfId="21"/>
    <tableColumn id="3" name="filepos" dataDxfId="20"/>
    <tableColumn id="4" name="name" dataDxfId="19"/>
    <tableColumn id="5" name="comment" dataDxfId="18"/>
    <tableColumn id="6" name="firstchr" dataDxfId="17"/>
    <tableColumn id="12" name="imgbank" dataDxfId="16"/>
    <tableColumn id="7" name="repeat" dataDxfId="15"/>
    <tableColumn id="11" name="idcopy" dataDxfId="14">
      <calculatedColumnFormula>Table1[[#This Row],[idh]]</calculatedColumnFormula>
    </tableColumn>
    <tableColumn id="8" name="asm" dataDxfId="13">
      <calculatedColumnFormula>CONCATENATE("an",Table1[[#This Row],[name]],"_ID")</calculatedColumnFormula>
    </tableColumn>
    <tableColumn id="9" name="asm2" dataDxfId="12">
      <calculatedColumnFormula>CONCATENATE(Table1[[#This Row],[asm]]," = $",Table1[[#This Row],[idh]])</calculatedColumnFormula>
    </tableColumn>
    <tableColumn id="10" name="py" dataDxfId="11">
      <calculatedColumnFormula>CONCATENATE("animNames.append(""",Table1[[#This Row],[name]],""")")</calculatedColumnFormula>
    </tableColumn>
    <tableColumn id="13" name="py2" dataDxfId="10">
      <calculatedColumnFormula>CONCATENATE("reqSprBanks.append(0x",Table1[[#This Row],[imgbank]],")")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H565" totalsRowShown="0" headerRowDxfId="9" dataDxfId="8">
  <autoFilter ref="A1:H565"/>
  <tableColumns count="8">
    <tableColumn id="1" name="bank" dataDxfId="7"/>
    <tableColumn id="2" name="num" dataDxfId="6"/>
    <tableColumn id="3" name="ofs" dataDxfId="5">
      <calculatedColumnFormula>DEC2HEX(Table3[[#This Row],[num]]*2,4)</calculatedColumnFormula>
    </tableColumn>
    <tableColumn id="4" name="filepos" dataDxfId="4"/>
    <tableColumn id="5" name="name" dataDxfId="3"/>
    <tableColumn id="7" name="comment" dataDxfId="2"/>
    <tableColumn id="8" name="repeat" dataDxfId="1"/>
    <tableColumn id="6" name="py" dataDxfId="0">
      <calculatedColumnFormula>CONCATENATE("img",Table3[[#This Row],[name]],"_ofs = $",Table3[[#This Row],[ofs]])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8"/>
  <sheetViews>
    <sheetView tabSelected="1" topLeftCell="A86" workbookViewId="0">
      <selection activeCell="E110" sqref="E110"/>
    </sheetView>
  </sheetViews>
  <sheetFormatPr defaultRowHeight="15" x14ac:dyDescent="0.25"/>
  <cols>
    <col min="3" max="3" width="12.5703125" customWidth="1"/>
    <col min="4" max="4" width="21.42578125" customWidth="1"/>
    <col min="5" max="5" width="40.28515625" customWidth="1"/>
    <col min="6" max="6" width="13.42578125" customWidth="1"/>
    <col min="7" max="7" width="13" customWidth="1"/>
    <col min="10" max="10" width="21" customWidth="1"/>
    <col min="11" max="11" width="25.85546875" customWidth="1"/>
    <col min="12" max="12" width="36.42578125" customWidth="1"/>
  </cols>
  <sheetData>
    <row r="1" spans="1:13" x14ac:dyDescent="0.25">
      <c r="A1" s="1" t="s">
        <v>395</v>
      </c>
      <c r="B1" s="1" t="s">
        <v>396</v>
      </c>
      <c r="C1" s="1" t="s">
        <v>394</v>
      </c>
      <c r="D1" s="1" t="s">
        <v>397</v>
      </c>
      <c r="E1" s="1" t="s">
        <v>398</v>
      </c>
      <c r="F1" s="1" t="s">
        <v>400</v>
      </c>
      <c r="G1" s="1" t="s">
        <v>1587</v>
      </c>
      <c r="H1" s="1" t="s">
        <v>899</v>
      </c>
      <c r="I1" s="1" t="s">
        <v>1066</v>
      </c>
      <c r="J1" s="1" t="s">
        <v>1063</v>
      </c>
      <c r="K1" s="1" t="s">
        <v>1064</v>
      </c>
      <c r="L1" s="1" t="s">
        <v>1065</v>
      </c>
      <c r="M1" s="1" t="s">
        <v>1590</v>
      </c>
    </row>
    <row r="2" spans="1:13" x14ac:dyDescent="0.25">
      <c r="A2" s="1">
        <v>0</v>
      </c>
      <c r="B2" s="1" t="s">
        <v>1095</v>
      </c>
      <c r="C2" s="2" t="s">
        <v>279</v>
      </c>
      <c r="D2" s="1" t="s">
        <v>399</v>
      </c>
      <c r="E2" s="3" t="s">
        <v>399</v>
      </c>
      <c r="F2" s="1" t="s">
        <v>401</v>
      </c>
      <c r="G2" s="2" t="s">
        <v>1588</v>
      </c>
      <c r="H2" s="1"/>
      <c r="I2" s="1" t="str">
        <f>Table1[[#This Row],[idh]]</f>
        <v>00</v>
      </c>
      <c r="J2" s="1" t="str">
        <f>CONCATENATE("an",Table1[[#This Row],[name]],"_ID")</f>
        <v>anDummy_ID</v>
      </c>
      <c r="K2" s="1" t="str">
        <f>CONCATENATE(Table1[[#This Row],[asm]]," = $",Table1[[#This Row],[idh]])</f>
        <v>anDummy_ID = $00</v>
      </c>
      <c r="L2" s="1" t="str">
        <f>CONCATENATE("animNames.append(""",Table1[[#This Row],[name]],""")")</f>
        <v>animNames.append("Dummy")</v>
      </c>
      <c r="M2" s="8" t="str">
        <f>CONCATENATE("reqSprBanks.append(0x",Table1[[#This Row],[imgbank]],")")</f>
        <v>reqSprBanks.append(0x04,0A)</v>
      </c>
    </row>
    <row r="3" spans="1:13" x14ac:dyDescent="0.25">
      <c r="A3" s="1">
        <v>1</v>
      </c>
      <c r="B3" s="1" t="s">
        <v>1096</v>
      </c>
      <c r="C3" s="2" t="s">
        <v>0</v>
      </c>
      <c r="D3" s="1" t="s">
        <v>746</v>
      </c>
      <c r="E3" s="3" t="s">
        <v>467</v>
      </c>
      <c r="F3" s="1" t="s">
        <v>402</v>
      </c>
      <c r="G3" s="2" t="s">
        <v>1588</v>
      </c>
      <c r="H3" s="1"/>
      <c r="I3" s="1" t="str">
        <f>Table1[[#This Row],[idh]]</f>
        <v>01</v>
      </c>
      <c r="J3" s="1" t="str">
        <f>CONCATENATE("an",Table1[[#This Row],[name]],"_ID")</f>
        <v>anPlayerL_ID</v>
      </c>
      <c r="K3" s="1" t="str">
        <f>CONCATENATE(Table1[[#This Row],[asm]]," = $",Table1[[#This Row],[idh]])</f>
        <v>anPlayerL_ID = $01</v>
      </c>
      <c r="L3" s="1" t="str">
        <f>CONCATENATE("animNames.append(""",Table1[[#This Row],[name]],""")")</f>
        <v>animNames.append("PlayerL")</v>
      </c>
      <c r="M3" s="8" t="str">
        <f>CONCATENATE("reqSprBanks.append(0x",Table1[[#This Row],[imgbank]],")")</f>
        <v>reqSprBanks.append(0x04,0A)</v>
      </c>
    </row>
    <row r="4" spans="1:13" x14ac:dyDescent="0.25">
      <c r="A4" s="1">
        <v>2</v>
      </c>
      <c r="B4" s="1" t="s">
        <v>1097</v>
      </c>
      <c r="C4" s="2" t="s">
        <v>280</v>
      </c>
      <c r="D4" s="1" t="s">
        <v>747</v>
      </c>
      <c r="E4" s="3" t="s">
        <v>468</v>
      </c>
      <c r="F4" s="1" t="s">
        <v>402</v>
      </c>
      <c r="G4" s="2" t="s">
        <v>1588</v>
      </c>
      <c r="H4" s="1"/>
      <c r="I4" s="1" t="str">
        <f>Table1[[#This Row],[idh]]</f>
        <v>02</v>
      </c>
      <c r="J4" s="1" t="str">
        <f>CONCATENATE("an",Table1[[#This Row],[name]],"_ID")</f>
        <v>anPlayerR_ID</v>
      </c>
      <c r="K4" s="1" t="str">
        <f>CONCATENATE(Table1[[#This Row],[asm]]," = $",Table1[[#This Row],[idh]])</f>
        <v>anPlayerR_ID = $02</v>
      </c>
      <c r="L4" s="1" t="str">
        <f>CONCATENATE("animNames.append(""",Table1[[#This Row],[name]],""")")</f>
        <v>animNames.append("PlayerR")</v>
      </c>
      <c r="M4" s="8" t="str">
        <f>CONCATENATE("reqSprBanks.append(0x",Table1[[#This Row],[imgbank]],")")</f>
        <v>reqSprBanks.append(0x04,0A)</v>
      </c>
    </row>
    <row r="5" spans="1:13" x14ac:dyDescent="0.25">
      <c r="A5" s="1">
        <v>3</v>
      </c>
      <c r="B5" s="1" t="s">
        <v>1098</v>
      </c>
      <c r="C5" s="2" t="s">
        <v>281</v>
      </c>
      <c r="D5" s="1" t="s">
        <v>748</v>
      </c>
      <c r="E5" s="3" t="s">
        <v>469</v>
      </c>
      <c r="F5" s="1" t="s">
        <v>402</v>
      </c>
      <c r="G5" s="2" t="s">
        <v>1588</v>
      </c>
      <c r="H5" s="1"/>
      <c r="I5" s="1" t="str">
        <f>Table1[[#This Row],[idh]]</f>
        <v>03</v>
      </c>
      <c r="J5" s="1" t="str">
        <f>CONCATENATE("an",Table1[[#This Row],[name]],"_ID")</f>
        <v>anPlayerWalkL_ID</v>
      </c>
      <c r="K5" s="1" t="str">
        <f>CONCATENATE(Table1[[#This Row],[asm]]," = $",Table1[[#This Row],[idh]])</f>
        <v>anPlayerWalkL_ID = $03</v>
      </c>
      <c r="L5" s="1" t="str">
        <f>CONCATENATE("animNames.append(""",Table1[[#This Row],[name]],""")")</f>
        <v>animNames.append("PlayerWalkL")</v>
      </c>
      <c r="M5" s="8" t="str">
        <f>CONCATENATE("reqSprBanks.append(0x",Table1[[#This Row],[imgbank]],")")</f>
        <v>reqSprBanks.append(0x04,0A)</v>
      </c>
    </row>
    <row r="6" spans="1:13" x14ac:dyDescent="0.25">
      <c r="A6" s="1">
        <v>4</v>
      </c>
      <c r="B6" s="1" t="s">
        <v>1099</v>
      </c>
      <c r="C6" s="2" t="s">
        <v>282</v>
      </c>
      <c r="D6" s="1" t="s">
        <v>749</v>
      </c>
      <c r="E6" s="3" t="s">
        <v>470</v>
      </c>
      <c r="F6" s="1" t="s">
        <v>402</v>
      </c>
      <c r="G6" s="2" t="s">
        <v>1588</v>
      </c>
      <c r="H6" s="1"/>
      <c r="I6" s="1" t="str">
        <f>Table1[[#This Row],[idh]]</f>
        <v>04</v>
      </c>
      <c r="J6" s="1" t="str">
        <f>CONCATENATE("an",Table1[[#This Row],[name]],"_ID")</f>
        <v>anPlayerWalkR_ID</v>
      </c>
      <c r="K6" s="1" t="str">
        <f>CONCATENATE(Table1[[#This Row],[asm]]," = $",Table1[[#This Row],[idh]])</f>
        <v>anPlayerWalkR_ID = $04</v>
      </c>
      <c r="L6" s="1" t="str">
        <f>CONCATENATE("animNames.append(""",Table1[[#This Row],[name]],""")")</f>
        <v>animNames.append("PlayerWalkR")</v>
      </c>
      <c r="M6" s="8" t="str">
        <f>CONCATENATE("reqSprBanks.append(0x",Table1[[#This Row],[imgbank]],")")</f>
        <v>reqSprBanks.append(0x04,0A)</v>
      </c>
    </row>
    <row r="7" spans="1:13" x14ac:dyDescent="0.25">
      <c r="A7" s="1">
        <v>5</v>
      </c>
      <c r="B7" s="1" t="s">
        <v>1100</v>
      </c>
      <c r="C7" s="2" t="s">
        <v>283</v>
      </c>
      <c r="D7" s="1" t="s">
        <v>750</v>
      </c>
      <c r="E7" s="3" t="s">
        <v>471</v>
      </c>
      <c r="F7" s="1" t="s">
        <v>402</v>
      </c>
      <c r="G7" s="2" t="s">
        <v>1588</v>
      </c>
      <c r="H7" s="1"/>
      <c r="I7" s="1" t="str">
        <f>Table1[[#This Row],[idh]]</f>
        <v>05</v>
      </c>
      <c r="J7" s="1" t="str">
        <f>CONCATENATE("an",Table1[[#This Row],[name]],"_ID")</f>
        <v>anPlayerJumpL_ID</v>
      </c>
      <c r="K7" s="1" t="str">
        <f>CONCATENATE(Table1[[#This Row],[asm]]," = $",Table1[[#This Row],[idh]])</f>
        <v>anPlayerJumpL_ID = $05</v>
      </c>
      <c r="L7" s="1" t="str">
        <f>CONCATENATE("animNames.append(""",Table1[[#This Row],[name]],""")")</f>
        <v>animNames.append("PlayerJumpL")</v>
      </c>
      <c r="M7" s="8" t="str">
        <f>CONCATENATE("reqSprBanks.append(0x",Table1[[#This Row],[imgbank]],")")</f>
        <v>reqSprBanks.append(0x04,0A)</v>
      </c>
    </row>
    <row r="8" spans="1:13" x14ac:dyDescent="0.25">
      <c r="A8" s="1">
        <v>6</v>
      </c>
      <c r="B8" s="1" t="s">
        <v>1101</v>
      </c>
      <c r="C8" s="2" t="s">
        <v>1</v>
      </c>
      <c r="D8" s="1" t="s">
        <v>751</v>
      </c>
      <c r="E8" s="3" t="s">
        <v>472</v>
      </c>
      <c r="F8" s="1" t="s">
        <v>402</v>
      </c>
      <c r="G8" s="2" t="s">
        <v>1588</v>
      </c>
      <c r="H8" s="1"/>
      <c r="I8" s="1" t="str">
        <f>Table1[[#This Row],[idh]]</f>
        <v>06</v>
      </c>
      <c r="J8" s="1" t="str">
        <f>CONCATENATE("an",Table1[[#This Row],[name]],"_ID")</f>
        <v>anPlayerJumpR_ID</v>
      </c>
      <c r="K8" s="1" t="str">
        <f>CONCATENATE(Table1[[#This Row],[asm]]," = $",Table1[[#This Row],[idh]])</f>
        <v>anPlayerJumpR_ID = $06</v>
      </c>
      <c r="L8" s="1" t="str">
        <f>CONCATENATE("animNames.append(""",Table1[[#This Row],[name]],""")")</f>
        <v>animNames.append("PlayerJumpR")</v>
      </c>
      <c r="M8" s="8" t="str">
        <f>CONCATENATE("reqSprBanks.append(0x",Table1[[#This Row],[imgbank]],")")</f>
        <v>reqSprBanks.append(0x04,0A)</v>
      </c>
    </row>
    <row r="9" spans="1:13" x14ac:dyDescent="0.25">
      <c r="A9" s="1">
        <v>7</v>
      </c>
      <c r="B9" s="1" t="s">
        <v>1102</v>
      </c>
      <c r="C9" s="2" t="s">
        <v>2</v>
      </c>
      <c r="D9" s="1" t="s">
        <v>754</v>
      </c>
      <c r="E9" s="3" t="s">
        <v>473</v>
      </c>
      <c r="F9" s="1" t="s">
        <v>403</v>
      </c>
      <c r="G9" s="2" t="s">
        <v>1588</v>
      </c>
      <c r="H9" s="1"/>
      <c r="I9" s="1" t="str">
        <f>Table1[[#This Row],[idh]]</f>
        <v>07</v>
      </c>
      <c r="J9" s="1" t="str">
        <f>CONCATENATE("an",Table1[[#This Row],[name]],"_ID")</f>
        <v>anPlayerStartFallL_ID</v>
      </c>
      <c r="K9" s="1" t="str">
        <f>CONCATENATE(Table1[[#This Row],[asm]]," = $",Table1[[#This Row],[idh]])</f>
        <v>anPlayerStartFallL_ID = $07</v>
      </c>
      <c r="L9" s="1" t="str">
        <f>CONCATENATE("animNames.append(""",Table1[[#This Row],[name]],""")")</f>
        <v>animNames.append("PlayerStartFallL")</v>
      </c>
      <c r="M9" s="8" t="str">
        <f>CONCATENATE("reqSprBanks.append(0x",Table1[[#This Row],[imgbank]],")")</f>
        <v>reqSprBanks.append(0x04,0A)</v>
      </c>
    </row>
    <row r="10" spans="1:13" x14ac:dyDescent="0.25">
      <c r="A10" s="1">
        <v>8</v>
      </c>
      <c r="B10" s="1" t="s">
        <v>1103</v>
      </c>
      <c r="C10" s="2" t="s">
        <v>3</v>
      </c>
      <c r="D10" s="1" t="s">
        <v>755</v>
      </c>
      <c r="E10" s="3" t="s">
        <v>474</v>
      </c>
      <c r="F10" s="1" t="s">
        <v>403</v>
      </c>
      <c r="G10" s="2" t="s">
        <v>1588</v>
      </c>
      <c r="H10" s="1"/>
      <c r="I10" s="1" t="str">
        <f>Table1[[#This Row],[idh]]</f>
        <v>08</v>
      </c>
      <c r="J10" s="1" t="str">
        <f>CONCATENATE("an",Table1[[#This Row],[name]],"_ID")</f>
        <v>anPlayerStartFallR_ID</v>
      </c>
      <c r="K10" s="1" t="str">
        <f>CONCATENATE(Table1[[#This Row],[asm]]," = $",Table1[[#This Row],[idh]])</f>
        <v>anPlayerStartFallR_ID = $08</v>
      </c>
      <c r="L10" s="1" t="str">
        <f>CONCATENATE("animNames.append(""",Table1[[#This Row],[name]],""")")</f>
        <v>animNames.append("PlayerStartFallR")</v>
      </c>
      <c r="M10" s="8" t="str">
        <f>CONCATENATE("reqSprBanks.append(0x",Table1[[#This Row],[imgbank]],")")</f>
        <v>reqSprBanks.append(0x04,0A)</v>
      </c>
    </row>
    <row r="11" spans="1:13" x14ac:dyDescent="0.25">
      <c r="A11" s="1">
        <v>9</v>
      </c>
      <c r="B11" s="1" t="s">
        <v>1104</v>
      </c>
      <c r="C11" s="2" t="s">
        <v>4</v>
      </c>
      <c r="D11" s="1" t="s">
        <v>752</v>
      </c>
      <c r="E11" s="3" t="s">
        <v>473</v>
      </c>
      <c r="F11" s="1" t="s">
        <v>403</v>
      </c>
      <c r="G11" s="2" t="s">
        <v>1588</v>
      </c>
      <c r="H11" s="1"/>
      <c r="I11" s="1" t="str">
        <f>Table1[[#This Row],[idh]]</f>
        <v>09</v>
      </c>
      <c r="J11" s="1" t="str">
        <f>CONCATENATE("an",Table1[[#This Row],[name]],"_ID")</f>
        <v>anPlayerFallL_ID</v>
      </c>
      <c r="K11" s="1" t="str">
        <f>CONCATENATE(Table1[[#This Row],[asm]]," = $",Table1[[#This Row],[idh]])</f>
        <v>anPlayerFallL_ID = $09</v>
      </c>
      <c r="L11" s="1" t="str">
        <f>CONCATENATE("animNames.append(""",Table1[[#This Row],[name]],""")")</f>
        <v>animNames.append("PlayerFallL")</v>
      </c>
      <c r="M11" s="8" t="str">
        <f>CONCATENATE("reqSprBanks.append(0x",Table1[[#This Row],[imgbank]],")")</f>
        <v>reqSprBanks.append(0x04,0A)</v>
      </c>
    </row>
    <row r="12" spans="1:13" x14ac:dyDescent="0.25">
      <c r="A12" s="1">
        <v>10</v>
      </c>
      <c r="B12" s="1" t="s">
        <v>1105</v>
      </c>
      <c r="C12" s="2" t="s">
        <v>5</v>
      </c>
      <c r="D12" s="1" t="s">
        <v>753</v>
      </c>
      <c r="E12" s="3" t="s">
        <v>474</v>
      </c>
      <c r="F12" s="1" t="s">
        <v>403</v>
      </c>
      <c r="G12" s="2" t="s">
        <v>1588</v>
      </c>
      <c r="H12" s="1"/>
      <c r="I12" s="1" t="str">
        <f>Table1[[#This Row],[idh]]</f>
        <v>0A</v>
      </c>
      <c r="J12" s="1" t="str">
        <f>CONCATENATE("an",Table1[[#This Row],[name]],"_ID")</f>
        <v>anPlayerFallR_ID</v>
      </c>
      <c r="K12" s="1" t="str">
        <f>CONCATENATE(Table1[[#This Row],[asm]]," = $",Table1[[#This Row],[idh]])</f>
        <v>anPlayerFallR_ID = $0A</v>
      </c>
      <c r="L12" s="1" t="str">
        <f>CONCATENATE("animNames.append(""",Table1[[#This Row],[name]],""")")</f>
        <v>animNames.append("PlayerFallR")</v>
      </c>
      <c r="M12" s="8" t="str">
        <f>CONCATENATE("reqSprBanks.append(0x",Table1[[#This Row],[imgbank]],")")</f>
        <v>reqSprBanks.append(0x04,0A)</v>
      </c>
    </row>
    <row r="13" spans="1:13" x14ac:dyDescent="0.25">
      <c r="A13" s="1">
        <v>11</v>
      </c>
      <c r="B13" s="1" t="s">
        <v>1106</v>
      </c>
      <c r="C13" s="2" t="s">
        <v>6</v>
      </c>
      <c r="D13" s="1" t="str">
        <f>CONCATENATE("UNK",Table1[[#This Row],[idh]])</f>
        <v>UNK0B</v>
      </c>
      <c r="E13" s="3" t="s">
        <v>759</v>
      </c>
      <c r="F13" s="1" t="s">
        <v>404</v>
      </c>
      <c r="G13" s="2" t="s">
        <v>1588</v>
      </c>
      <c r="H13" s="1"/>
      <c r="I13" s="1" t="str">
        <f>Table1[[#This Row],[idh]]</f>
        <v>0B</v>
      </c>
      <c r="J13" s="1" t="str">
        <f>CONCATENATE("an",Table1[[#This Row],[name]],"_ID")</f>
        <v>anUNK0B_ID</v>
      </c>
      <c r="K13" s="1" t="str">
        <f>CONCATENATE(Table1[[#This Row],[asm]]," = $",Table1[[#This Row],[idh]])</f>
        <v>anUNK0B_ID = $0B</v>
      </c>
      <c r="L13" s="1" t="str">
        <f>CONCATENATE("animNames.append(""",Table1[[#This Row],[name]],""")")</f>
        <v>animNames.append("UNK0B")</v>
      </c>
      <c r="M13" s="8" t="str">
        <f>CONCATENATE("reqSprBanks.append(0x",Table1[[#This Row],[imgbank]],")")</f>
        <v>reqSprBanks.append(0x04,0A)</v>
      </c>
    </row>
    <row r="14" spans="1:13" x14ac:dyDescent="0.25">
      <c r="A14" s="1">
        <v>12</v>
      </c>
      <c r="B14" s="1" t="s">
        <v>1107</v>
      </c>
      <c r="C14" s="2" t="s">
        <v>7</v>
      </c>
      <c r="D14" s="1" t="str">
        <f>CONCATENATE("UNK",Table1[[#This Row],[idh]])</f>
        <v>UNK0C</v>
      </c>
      <c r="E14" s="3" t="s">
        <v>759</v>
      </c>
      <c r="F14" s="1" t="s">
        <v>404</v>
      </c>
      <c r="G14" s="2" t="s">
        <v>1588</v>
      </c>
      <c r="H14" s="1"/>
      <c r="I14" s="1" t="str">
        <f>Table1[[#This Row],[idh]]</f>
        <v>0C</v>
      </c>
      <c r="J14" s="1" t="str">
        <f>CONCATENATE("an",Table1[[#This Row],[name]],"_ID")</f>
        <v>anUNK0C_ID</v>
      </c>
      <c r="K14" s="1" t="str">
        <f>CONCATENATE(Table1[[#This Row],[asm]]," = $",Table1[[#This Row],[idh]])</f>
        <v>anUNK0C_ID = $0C</v>
      </c>
      <c r="L14" s="1" t="str">
        <f>CONCATENATE("animNames.append(""",Table1[[#This Row],[name]],""")")</f>
        <v>animNames.append("UNK0C")</v>
      </c>
      <c r="M14" s="8" t="str">
        <f>CONCATENATE("reqSprBanks.append(0x",Table1[[#This Row],[imgbank]],")")</f>
        <v>reqSprBanks.append(0x04,0A)</v>
      </c>
    </row>
    <row r="15" spans="1:13" x14ac:dyDescent="0.25">
      <c r="A15" s="1">
        <v>13</v>
      </c>
      <c r="B15" s="1" t="s">
        <v>1108</v>
      </c>
      <c r="C15" s="2" t="s">
        <v>8</v>
      </c>
      <c r="D15" s="1" t="s">
        <v>758</v>
      </c>
      <c r="E15" s="3" t="s">
        <v>475</v>
      </c>
      <c r="F15" s="1" t="s">
        <v>405</v>
      </c>
      <c r="G15" s="2" t="s">
        <v>1588</v>
      </c>
      <c r="H15" s="1"/>
      <c r="I15" s="1" t="str">
        <f>Table1[[#This Row],[idh]]</f>
        <v>0D</v>
      </c>
      <c r="J15" s="1" t="str">
        <f>CONCATENATE("an",Table1[[#This Row],[name]],"_ID")</f>
        <v>anPlayerWeakenL_ID</v>
      </c>
      <c r="K15" s="1" t="str">
        <f>CONCATENATE(Table1[[#This Row],[asm]]," = $",Table1[[#This Row],[idh]])</f>
        <v>anPlayerWeakenL_ID = $0D</v>
      </c>
      <c r="L15" s="1" t="str">
        <f>CONCATENATE("animNames.append(""",Table1[[#This Row],[name]],""")")</f>
        <v>animNames.append("PlayerWeakenL")</v>
      </c>
      <c r="M15" s="8" t="str">
        <f>CONCATENATE("reqSprBanks.append(0x",Table1[[#This Row],[imgbank]],")")</f>
        <v>reqSprBanks.append(0x04,0A)</v>
      </c>
    </row>
    <row r="16" spans="1:13" x14ac:dyDescent="0.25">
      <c r="A16" s="1">
        <v>14</v>
      </c>
      <c r="B16" s="1" t="s">
        <v>1109</v>
      </c>
      <c r="C16" s="2" t="s">
        <v>284</v>
      </c>
      <c r="D16" s="1" t="s">
        <v>757</v>
      </c>
      <c r="E16" s="3" t="s">
        <v>476</v>
      </c>
      <c r="F16" s="1" t="s">
        <v>405</v>
      </c>
      <c r="G16" s="2" t="s">
        <v>1588</v>
      </c>
      <c r="H16" s="1"/>
      <c r="I16" s="1" t="str">
        <f>Table1[[#This Row],[idh]]</f>
        <v>0E</v>
      </c>
      <c r="J16" s="1" t="str">
        <f>CONCATENATE("an",Table1[[#This Row],[name]],"_ID")</f>
        <v>anPlayerWeakenR_ID</v>
      </c>
      <c r="K16" s="1" t="str">
        <f>CONCATENATE(Table1[[#This Row],[asm]]," = $",Table1[[#This Row],[idh]])</f>
        <v>anPlayerWeakenR_ID = $0E</v>
      </c>
      <c r="L16" s="1" t="str">
        <f>CONCATENATE("animNames.append(""",Table1[[#This Row],[name]],""")")</f>
        <v>animNames.append("PlayerWeakenR")</v>
      </c>
      <c r="M16" s="8" t="str">
        <f>CONCATENATE("reqSprBanks.append(0x",Table1[[#This Row],[imgbank]],")")</f>
        <v>reqSprBanks.append(0x04,0A)</v>
      </c>
    </row>
    <row r="17" spans="1:13" x14ac:dyDescent="0.25">
      <c r="A17" s="1">
        <v>15</v>
      </c>
      <c r="B17" s="1" t="s">
        <v>1110</v>
      </c>
      <c r="C17" s="2" t="s">
        <v>285</v>
      </c>
      <c r="D17" s="1" t="s">
        <v>760</v>
      </c>
      <c r="E17" s="3" t="s">
        <v>477</v>
      </c>
      <c r="F17" s="1" t="s">
        <v>402</v>
      </c>
      <c r="G17" s="2" t="s">
        <v>1588</v>
      </c>
      <c r="H17" s="1"/>
      <c r="I17" s="1" t="str">
        <f>Table1[[#This Row],[idh]]</f>
        <v>0F</v>
      </c>
      <c r="J17" s="1" t="str">
        <f>CONCATENATE("an",Table1[[#This Row],[name]],"_ID")</f>
        <v>anPlayerInhale1L_ID</v>
      </c>
      <c r="K17" s="1" t="str">
        <f>CONCATENATE(Table1[[#This Row],[asm]]," = $",Table1[[#This Row],[idh]])</f>
        <v>anPlayerInhale1L_ID = $0F</v>
      </c>
      <c r="L17" s="1" t="str">
        <f>CONCATENATE("animNames.append(""",Table1[[#This Row],[name]],""")")</f>
        <v>animNames.append("PlayerInhale1L")</v>
      </c>
      <c r="M17" s="8" t="str">
        <f>CONCATENATE("reqSprBanks.append(0x",Table1[[#This Row],[imgbank]],")")</f>
        <v>reqSprBanks.append(0x04,0A)</v>
      </c>
    </row>
    <row r="18" spans="1:13" x14ac:dyDescent="0.25">
      <c r="A18" s="1">
        <v>16</v>
      </c>
      <c r="B18" s="1" t="s">
        <v>1111</v>
      </c>
      <c r="C18" s="2" t="s">
        <v>9</v>
      </c>
      <c r="D18" s="1" t="s">
        <v>761</v>
      </c>
      <c r="E18" s="3" t="s">
        <v>478</v>
      </c>
      <c r="F18" s="1" t="s">
        <v>402</v>
      </c>
      <c r="G18" s="2" t="s">
        <v>1588</v>
      </c>
      <c r="H18" s="1"/>
      <c r="I18" s="1" t="str">
        <f>Table1[[#This Row],[idh]]</f>
        <v>10</v>
      </c>
      <c r="J18" s="1" t="str">
        <f>CONCATENATE("an",Table1[[#This Row],[name]],"_ID")</f>
        <v>anPlayerInhale1R_ID</v>
      </c>
      <c r="K18" s="1" t="str">
        <f>CONCATENATE(Table1[[#This Row],[asm]]," = $",Table1[[#This Row],[idh]])</f>
        <v>anPlayerInhale1R_ID = $10</v>
      </c>
      <c r="L18" s="1" t="str">
        <f>CONCATENATE("animNames.append(""",Table1[[#This Row],[name]],""")")</f>
        <v>animNames.append("PlayerInhale1R")</v>
      </c>
      <c r="M18" s="8" t="str">
        <f>CONCATENATE("reqSprBanks.append(0x",Table1[[#This Row],[imgbank]],")")</f>
        <v>reqSprBanks.append(0x04,0A)</v>
      </c>
    </row>
    <row r="19" spans="1:13" x14ac:dyDescent="0.25">
      <c r="A19" s="1">
        <v>17</v>
      </c>
      <c r="B19" s="1" t="s">
        <v>1112</v>
      </c>
      <c r="C19" s="2" t="s">
        <v>10</v>
      </c>
      <c r="D19" s="4" t="str">
        <f>CONCATENATE("UNK",Table1[[#This Row],[idh]])</f>
        <v>UNK11</v>
      </c>
      <c r="E19" s="3" t="s">
        <v>479</v>
      </c>
      <c r="F19" s="1" t="s">
        <v>406</v>
      </c>
      <c r="G19" s="2" t="s">
        <v>1588</v>
      </c>
      <c r="H19" s="1"/>
      <c r="I19" s="1" t="str">
        <f>Table1[[#This Row],[idh]]</f>
        <v>11</v>
      </c>
      <c r="J19" s="1" t="str">
        <f>CONCATENATE("an",Table1[[#This Row],[name]],"_ID")</f>
        <v>anUNK11_ID</v>
      </c>
      <c r="K19" s="1" t="str">
        <f>CONCATENATE(Table1[[#This Row],[asm]]," = $",Table1[[#This Row],[idh]])</f>
        <v>anUNK11_ID = $11</v>
      </c>
      <c r="L19" s="1" t="str">
        <f>CONCATENATE("animNames.append(""",Table1[[#This Row],[name]],""")")</f>
        <v>animNames.append("UNK11")</v>
      </c>
      <c r="M19" s="8" t="str">
        <f>CONCATENATE("reqSprBanks.append(0x",Table1[[#This Row],[imgbank]],")")</f>
        <v>reqSprBanks.append(0x04,0A)</v>
      </c>
    </row>
    <row r="20" spans="1:13" x14ac:dyDescent="0.25">
      <c r="A20" s="1">
        <v>18</v>
      </c>
      <c r="B20" s="1" t="s">
        <v>1113</v>
      </c>
      <c r="C20" s="2" t="s">
        <v>286</v>
      </c>
      <c r="D20" s="4" t="str">
        <f>CONCATENATE("UNK",Table1[[#This Row],[idh]])</f>
        <v>UNK12</v>
      </c>
      <c r="E20" s="3" t="s">
        <v>480</v>
      </c>
      <c r="F20" s="1" t="s">
        <v>406</v>
      </c>
      <c r="G20" s="2" t="s">
        <v>1588</v>
      </c>
      <c r="H20" s="1"/>
      <c r="I20" s="1" t="str">
        <f>Table1[[#This Row],[idh]]</f>
        <v>12</v>
      </c>
      <c r="J20" s="1" t="str">
        <f>CONCATENATE("an",Table1[[#This Row],[name]],"_ID")</f>
        <v>anUNK12_ID</v>
      </c>
      <c r="K20" s="1" t="str">
        <f>CONCATENATE(Table1[[#This Row],[asm]]," = $",Table1[[#This Row],[idh]])</f>
        <v>anUNK12_ID = $12</v>
      </c>
      <c r="L20" s="1" t="str">
        <f>CONCATENATE("animNames.append(""",Table1[[#This Row],[name]],""")")</f>
        <v>animNames.append("UNK12")</v>
      </c>
      <c r="M20" s="8" t="str">
        <f>CONCATENATE("reqSprBanks.append(0x",Table1[[#This Row],[imgbank]],")")</f>
        <v>reqSprBanks.append(0x04,0A)</v>
      </c>
    </row>
    <row r="21" spans="1:13" x14ac:dyDescent="0.25">
      <c r="A21" s="1">
        <v>19</v>
      </c>
      <c r="B21" s="1" t="s">
        <v>1114</v>
      </c>
      <c r="C21" s="2" t="s">
        <v>287</v>
      </c>
      <c r="D21" s="1" t="str">
        <f>CONCATENATE("UNK",Table1[[#This Row],[idh]])</f>
        <v>UNK13</v>
      </c>
      <c r="E21" s="3" t="s">
        <v>768</v>
      </c>
      <c r="F21" s="1" t="s">
        <v>407</v>
      </c>
      <c r="G21" s="2" t="s">
        <v>1588</v>
      </c>
      <c r="H21" s="1"/>
      <c r="I21" s="1" t="str">
        <f>Table1[[#This Row],[idh]]</f>
        <v>13</v>
      </c>
      <c r="J21" s="1" t="str">
        <f>CONCATENATE("an",Table1[[#This Row],[name]],"_ID")</f>
        <v>anUNK13_ID</v>
      </c>
      <c r="K21" s="1" t="str">
        <f>CONCATENATE(Table1[[#This Row],[asm]]," = $",Table1[[#This Row],[idh]])</f>
        <v>anUNK13_ID = $13</v>
      </c>
      <c r="L21" s="1" t="str">
        <f>CONCATENATE("animNames.append(""",Table1[[#This Row],[name]],""")")</f>
        <v>animNames.append("UNK13")</v>
      </c>
      <c r="M21" s="8" t="str">
        <f>CONCATENATE("reqSprBanks.append(0x",Table1[[#This Row],[imgbank]],")")</f>
        <v>reqSprBanks.append(0x04,0A)</v>
      </c>
    </row>
    <row r="22" spans="1:13" x14ac:dyDescent="0.25">
      <c r="A22" s="1">
        <v>20</v>
      </c>
      <c r="B22" s="1" t="s">
        <v>1115</v>
      </c>
      <c r="C22" s="2" t="s">
        <v>11</v>
      </c>
      <c r="D22" s="1" t="str">
        <f>CONCATENATE("UNK",Table1[[#This Row],[idh]])</f>
        <v>UNK14</v>
      </c>
      <c r="E22" s="3" t="s">
        <v>769</v>
      </c>
      <c r="F22" s="1" t="s">
        <v>407</v>
      </c>
      <c r="G22" s="2" t="s">
        <v>1588</v>
      </c>
      <c r="H22" s="1"/>
      <c r="I22" s="1" t="str">
        <f>Table1[[#This Row],[idh]]</f>
        <v>14</v>
      </c>
      <c r="J22" s="1" t="str">
        <f>CONCATENATE("an",Table1[[#This Row],[name]],"_ID")</f>
        <v>anUNK14_ID</v>
      </c>
      <c r="K22" s="1" t="str">
        <f>CONCATENATE(Table1[[#This Row],[asm]]," = $",Table1[[#This Row],[idh]])</f>
        <v>anUNK14_ID = $14</v>
      </c>
      <c r="L22" s="1" t="str">
        <f>CONCATENATE("animNames.append(""",Table1[[#This Row],[name]],""")")</f>
        <v>animNames.append("UNK14")</v>
      </c>
      <c r="M22" s="8" t="str">
        <f>CONCATENATE("reqSprBanks.append(0x",Table1[[#This Row],[imgbank]],")")</f>
        <v>reqSprBanks.append(0x04,0A)</v>
      </c>
    </row>
    <row r="23" spans="1:13" x14ac:dyDescent="0.25">
      <c r="A23" s="1">
        <v>21</v>
      </c>
      <c r="B23" s="1" t="s">
        <v>1116</v>
      </c>
      <c r="C23" s="2" t="s">
        <v>12</v>
      </c>
      <c r="D23" s="1" t="str">
        <f>CONCATENATE("UNK",Table1[[#This Row],[idh]])</f>
        <v>UNK15</v>
      </c>
      <c r="E23" s="3" t="s">
        <v>768</v>
      </c>
      <c r="F23" s="1" t="s">
        <v>408</v>
      </c>
      <c r="G23" s="2" t="s">
        <v>1588</v>
      </c>
      <c r="H23" s="1"/>
      <c r="I23" s="1" t="str">
        <f>Table1[[#This Row],[idh]]</f>
        <v>15</v>
      </c>
      <c r="J23" s="1" t="str">
        <f>CONCATENATE("an",Table1[[#This Row],[name]],"_ID")</f>
        <v>anUNK15_ID</v>
      </c>
      <c r="K23" s="1" t="str">
        <f>CONCATENATE(Table1[[#This Row],[asm]]," = $",Table1[[#This Row],[idh]])</f>
        <v>anUNK15_ID = $15</v>
      </c>
      <c r="L23" s="1" t="str">
        <f>CONCATENATE("animNames.append(""",Table1[[#This Row],[name]],""")")</f>
        <v>animNames.append("UNK15")</v>
      </c>
      <c r="M23" s="8" t="str">
        <f>CONCATENATE("reqSprBanks.append(0x",Table1[[#This Row],[imgbank]],")")</f>
        <v>reqSprBanks.append(0x04,0A)</v>
      </c>
    </row>
    <row r="24" spans="1:13" x14ac:dyDescent="0.25">
      <c r="A24" s="1">
        <v>22</v>
      </c>
      <c r="B24" s="1" t="s">
        <v>1117</v>
      </c>
      <c r="C24" s="2" t="s">
        <v>288</v>
      </c>
      <c r="D24" s="1" t="str">
        <f>CONCATENATE("UNK",Table1[[#This Row],[idh]])</f>
        <v>UNK16</v>
      </c>
      <c r="E24" s="3" t="s">
        <v>769</v>
      </c>
      <c r="F24" s="1" t="s">
        <v>408</v>
      </c>
      <c r="G24" s="2" t="s">
        <v>1588</v>
      </c>
      <c r="H24" s="1"/>
      <c r="I24" s="1" t="str">
        <f>Table1[[#This Row],[idh]]</f>
        <v>16</v>
      </c>
      <c r="J24" s="1" t="str">
        <f>CONCATENATE("an",Table1[[#This Row],[name]],"_ID")</f>
        <v>anUNK16_ID</v>
      </c>
      <c r="K24" s="1" t="str">
        <f>CONCATENATE(Table1[[#This Row],[asm]]," = $",Table1[[#This Row],[idh]])</f>
        <v>anUNK16_ID = $16</v>
      </c>
      <c r="L24" s="1" t="str">
        <f>CONCATENATE("animNames.append(""",Table1[[#This Row],[name]],""")")</f>
        <v>animNames.append("UNK16")</v>
      </c>
      <c r="M24" s="8" t="str">
        <f>CONCATENATE("reqSprBanks.append(0x",Table1[[#This Row],[imgbank]],")")</f>
        <v>reqSprBanks.append(0x04,0A)</v>
      </c>
    </row>
    <row r="25" spans="1:13" x14ac:dyDescent="0.25">
      <c r="A25" s="1">
        <v>23</v>
      </c>
      <c r="B25" s="1" t="s">
        <v>1118</v>
      </c>
      <c r="C25" s="2" t="s">
        <v>289</v>
      </c>
      <c r="D25" s="1" t="str">
        <f>CONCATENATE("UNK",Table1[[#This Row],[idh]])</f>
        <v>UNK17</v>
      </c>
      <c r="E25" s="3" t="s">
        <v>768</v>
      </c>
      <c r="F25" s="1" t="s">
        <v>409</v>
      </c>
      <c r="G25" s="2" t="s">
        <v>1588</v>
      </c>
      <c r="H25" s="1"/>
      <c r="I25" s="1" t="str">
        <f>Table1[[#This Row],[idh]]</f>
        <v>17</v>
      </c>
      <c r="J25" s="1" t="str">
        <f>CONCATENATE("an",Table1[[#This Row],[name]],"_ID")</f>
        <v>anUNK17_ID</v>
      </c>
      <c r="K25" s="1" t="str">
        <f>CONCATENATE(Table1[[#This Row],[asm]]," = $",Table1[[#This Row],[idh]])</f>
        <v>anUNK17_ID = $17</v>
      </c>
      <c r="L25" s="1" t="str">
        <f>CONCATENATE("animNames.append(""",Table1[[#This Row],[name]],""")")</f>
        <v>animNames.append("UNK17")</v>
      </c>
      <c r="M25" s="8" t="str">
        <f>CONCATENATE("reqSprBanks.append(0x",Table1[[#This Row],[imgbank]],")")</f>
        <v>reqSprBanks.append(0x04,0A)</v>
      </c>
    </row>
    <row r="26" spans="1:13" x14ac:dyDescent="0.25">
      <c r="A26" s="1">
        <v>24</v>
      </c>
      <c r="B26" s="1" t="s">
        <v>1119</v>
      </c>
      <c r="C26" s="2" t="s">
        <v>13</v>
      </c>
      <c r="D26" s="1" t="str">
        <f>CONCATENATE("UNK",Table1[[#This Row],[idh]])</f>
        <v>UNK18</v>
      </c>
      <c r="E26" s="3" t="s">
        <v>769</v>
      </c>
      <c r="F26" s="1" t="s">
        <v>409</v>
      </c>
      <c r="G26" s="2" t="s">
        <v>1588</v>
      </c>
      <c r="H26" s="1"/>
      <c r="I26" s="1" t="str">
        <f>Table1[[#This Row],[idh]]</f>
        <v>18</v>
      </c>
      <c r="J26" s="1" t="str">
        <f>CONCATENATE("an",Table1[[#This Row],[name]],"_ID")</f>
        <v>anUNK18_ID</v>
      </c>
      <c r="K26" s="1" t="str">
        <f>CONCATENATE(Table1[[#This Row],[asm]]," = $",Table1[[#This Row],[idh]])</f>
        <v>anUNK18_ID = $18</v>
      </c>
      <c r="L26" s="1" t="str">
        <f>CONCATENATE("animNames.append(""",Table1[[#This Row],[name]],""")")</f>
        <v>animNames.append("UNK18")</v>
      </c>
      <c r="M26" s="8" t="str">
        <f>CONCATENATE("reqSprBanks.append(0x",Table1[[#This Row],[imgbank]],")")</f>
        <v>reqSprBanks.append(0x04,0A)</v>
      </c>
    </row>
    <row r="27" spans="1:13" x14ac:dyDescent="0.25">
      <c r="A27" s="1">
        <v>25</v>
      </c>
      <c r="B27" s="1" t="s">
        <v>1120</v>
      </c>
      <c r="C27" s="2" t="s">
        <v>14</v>
      </c>
      <c r="D27" s="1" t="s">
        <v>762</v>
      </c>
      <c r="E27" s="3" t="s">
        <v>479</v>
      </c>
      <c r="F27" s="1" t="s">
        <v>410</v>
      </c>
      <c r="G27" s="2" t="s">
        <v>1588</v>
      </c>
      <c r="H27" s="1"/>
      <c r="I27" s="1" t="str">
        <f>Table1[[#This Row],[idh]]</f>
        <v>19</v>
      </c>
      <c r="J27" s="1" t="str">
        <f>CONCATENATE("an",Table1[[#This Row],[name]],"_ID")</f>
        <v>anPlayerInhale2L_ID</v>
      </c>
      <c r="K27" s="1" t="str">
        <f>CONCATENATE(Table1[[#This Row],[asm]]," = $",Table1[[#This Row],[idh]])</f>
        <v>anPlayerInhale2L_ID = $19</v>
      </c>
      <c r="L27" s="1" t="str">
        <f>CONCATENATE("animNames.append(""",Table1[[#This Row],[name]],""")")</f>
        <v>animNames.append("PlayerInhale2L")</v>
      </c>
      <c r="M27" s="8" t="str">
        <f>CONCATENATE("reqSprBanks.append(0x",Table1[[#This Row],[imgbank]],")")</f>
        <v>reqSprBanks.append(0x04,0A)</v>
      </c>
    </row>
    <row r="28" spans="1:13" x14ac:dyDescent="0.25">
      <c r="A28" s="1">
        <v>26</v>
      </c>
      <c r="B28" s="1" t="s">
        <v>1121</v>
      </c>
      <c r="C28" s="2" t="s">
        <v>15</v>
      </c>
      <c r="D28" s="1" t="s">
        <v>763</v>
      </c>
      <c r="E28" s="3" t="s">
        <v>480</v>
      </c>
      <c r="F28" s="1" t="s">
        <v>410</v>
      </c>
      <c r="G28" s="2" t="s">
        <v>1588</v>
      </c>
      <c r="H28" s="1"/>
      <c r="I28" s="1" t="str">
        <f>Table1[[#This Row],[idh]]</f>
        <v>1A</v>
      </c>
      <c r="J28" s="1" t="str">
        <f>CONCATENATE("an",Table1[[#This Row],[name]],"_ID")</f>
        <v>anPlayerInhale2R_ID</v>
      </c>
      <c r="K28" s="1" t="str">
        <f>CONCATENATE(Table1[[#This Row],[asm]]," = $",Table1[[#This Row],[idh]])</f>
        <v>anPlayerInhale2R_ID = $1A</v>
      </c>
      <c r="L28" s="1" t="str">
        <f>CONCATENATE("animNames.append(""",Table1[[#This Row],[name]],""")")</f>
        <v>animNames.append("PlayerInhale2R")</v>
      </c>
      <c r="M28" s="8" t="str">
        <f>CONCATENATE("reqSprBanks.append(0x",Table1[[#This Row],[imgbank]],")")</f>
        <v>reqSprBanks.append(0x04,0A)</v>
      </c>
    </row>
    <row r="29" spans="1:13" x14ac:dyDescent="0.25">
      <c r="A29" s="1">
        <v>27</v>
      </c>
      <c r="B29" s="1" t="s">
        <v>1122</v>
      </c>
      <c r="C29" s="2" t="s">
        <v>290</v>
      </c>
      <c r="D29" s="4" t="str">
        <f>CONCATENATE("UNK",Table1[[#This Row],[idh]])</f>
        <v>UNK1B</v>
      </c>
      <c r="E29" s="3" t="s">
        <v>481</v>
      </c>
      <c r="F29" s="1" t="s">
        <v>406</v>
      </c>
      <c r="G29" s="2" t="s">
        <v>1588</v>
      </c>
      <c r="H29" s="1"/>
      <c r="I29" s="1" t="str">
        <f>Table1[[#This Row],[idh]]</f>
        <v>1B</v>
      </c>
      <c r="J29" s="1" t="str">
        <f>CONCATENATE("an",Table1[[#This Row],[name]],"_ID")</f>
        <v>anUNK1B_ID</v>
      </c>
      <c r="K29" s="1" t="str">
        <f>CONCATENATE(Table1[[#This Row],[asm]]," = $",Table1[[#This Row],[idh]])</f>
        <v>anUNK1B_ID = $1B</v>
      </c>
      <c r="L29" s="1" t="str">
        <f>CONCATENATE("animNames.append(""",Table1[[#This Row],[name]],""")")</f>
        <v>animNames.append("UNK1B")</v>
      </c>
      <c r="M29" s="8" t="str">
        <f>CONCATENATE("reqSprBanks.append(0x",Table1[[#This Row],[imgbank]],")")</f>
        <v>reqSprBanks.append(0x04,0A)</v>
      </c>
    </row>
    <row r="30" spans="1:13" x14ac:dyDescent="0.25">
      <c r="A30" s="1">
        <v>28</v>
      </c>
      <c r="B30" s="1" t="s">
        <v>1123</v>
      </c>
      <c r="C30" s="2" t="s">
        <v>291</v>
      </c>
      <c r="D30" s="4" t="str">
        <f>CONCATENATE("UNK",Table1[[#This Row],[idh]])</f>
        <v>UNK1C</v>
      </c>
      <c r="E30" s="3" t="s">
        <v>482</v>
      </c>
      <c r="F30" s="1" t="s">
        <v>406</v>
      </c>
      <c r="G30" s="2" t="s">
        <v>1588</v>
      </c>
      <c r="H30" s="1"/>
      <c r="I30" s="1" t="str">
        <f>Table1[[#This Row],[idh]]</f>
        <v>1C</v>
      </c>
      <c r="J30" s="1" t="str">
        <f>CONCATENATE("an",Table1[[#This Row],[name]],"_ID")</f>
        <v>anUNK1C_ID</v>
      </c>
      <c r="K30" s="1" t="str">
        <f>CONCATENATE(Table1[[#This Row],[asm]]," = $",Table1[[#This Row],[idh]])</f>
        <v>anUNK1C_ID = $1C</v>
      </c>
      <c r="L30" s="1" t="str">
        <f>CONCATENATE("animNames.append(""",Table1[[#This Row],[name]],""")")</f>
        <v>animNames.append("UNK1C")</v>
      </c>
      <c r="M30" s="8" t="str">
        <f>CONCATENATE("reqSprBanks.append(0x",Table1[[#This Row],[imgbank]],")")</f>
        <v>reqSprBanks.append(0x04,0A)</v>
      </c>
    </row>
    <row r="31" spans="1:13" x14ac:dyDescent="0.25">
      <c r="A31" s="1">
        <v>29</v>
      </c>
      <c r="B31" s="1" t="s">
        <v>1124</v>
      </c>
      <c r="C31" s="2" t="s">
        <v>16</v>
      </c>
      <c r="D31" s="1" t="str">
        <f>CONCATENATE("UNK",Table1[[#This Row],[idh]])</f>
        <v>UNK1D</v>
      </c>
      <c r="E31" s="3" t="s">
        <v>768</v>
      </c>
      <c r="F31" s="1" t="s">
        <v>411</v>
      </c>
      <c r="G31" s="2" t="s">
        <v>1588</v>
      </c>
      <c r="H31" s="1"/>
      <c r="I31" s="1" t="str">
        <f>Table1[[#This Row],[idh]]</f>
        <v>1D</v>
      </c>
      <c r="J31" s="1" t="str">
        <f>CONCATENATE("an",Table1[[#This Row],[name]],"_ID")</f>
        <v>anUNK1D_ID</v>
      </c>
      <c r="K31" s="1" t="str">
        <f>CONCATENATE(Table1[[#This Row],[asm]]," = $",Table1[[#This Row],[idh]])</f>
        <v>anUNK1D_ID = $1D</v>
      </c>
      <c r="L31" s="1" t="str">
        <f>CONCATENATE("animNames.append(""",Table1[[#This Row],[name]],""")")</f>
        <v>animNames.append("UNK1D")</v>
      </c>
      <c r="M31" s="8" t="str">
        <f>CONCATENATE("reqSprBanks.append(0x",Table1[[#This Row],[imgbank]],")")</f>
        <v>reqSprBanks.append(0x04,0A)</v>
      </c>
    </row>
    <row r="32" spans="1:13" x14ac:dyDescent="0.25">
      <c r="A32" s="1">
        <v>30</v>
      </c>
      <c r="B32" s="1" t="s">
        <v>1125</v>
      </c>
      <c r="C32" s="2" t="s">
        <v>292</v>
      </c>
      <c r="D32" s="1" t="str">
        <f>CONCATENATE("UNK",Table1[[#This Row],[idh]])</f>
        <v>UNK1E</v>
      </c>
      <c r="E32" s="3" t="s">
        <v>769</v>
      </c>
      <c r="F32" s="1" t="s">
        <v>411</v>
      </c>
      <c r="G32" s="2" t="s">
        <v>1588</v>
      </c>
      <c r="H32" s="1"/>
      <c r="I32" s="1" t="str">
        <f>Table1[[#This Row],[idh]]</f>
        <v>1E</v>
      </c>
      <c r="J32" s="1" t="str">
        <f>CONCATENATE("an",Table1[[#This Row],[name]],"_ID")</f>
        <v>anUNK1E_ID</v>
      </c>
      <c r="K32" s="1" t="str">
        <f>CONCATENATE(Table1[[#This Row],[asm]]," = $",Table1[[#This Row],[idh]])</f>
        <v>anUNK1E_ID = $1E</v>
      </c>
      <c r="L32" s="1" t="str">
        <f>CONCATENATE("animNames.append(""",Table1[[#This Row],[name]],""")")</f>
        <v>animNames.append("UNK1E")</v>
      </c>
      <c r="M32" s="8" t="str">
        <f>CONCATENATE("reqSprBanks.append(0x",Table1[[#This Row],[imgbank]],")")</f>
        <v>reqSprBanks.append(0x04,0A)</v>
      </c>
    </row>
    <row r="33" spans="1:13" x14ac:dyDescent="0.25">
      <c r="A33" s="1">
        <v>31</v>
      </c>
      <c r="B33" s="1" t="s">
        <v>1126</v>
      </c>
      <c r="C33" s="2" t="s">
        <v>293</v>
      </c>
      <c r="D33" s="1" t="str">
        <f>CONCATENATE("UNK",Table1[[#This Row],[idh]])</f>
        <v>UNK1F</v>
      </c>
      <c r="E33" s="3" t="s">
        <v>768</v>
      </c>
      <c r="F33" s="1" t="s">
        <v>412</v>
      </c>
      <c r="G33" s="2" t="s">
        <v>1588</v>
      </c>
      <c r="H33" s="1"/>
      <c r="I33" s="1" t="str">
        <f>Table1[[#This Row],[idh]]</f>
        <v>1F</v>
      </c>
      <c r="J33" s="1" t="str">
        <f>CONCATENATE("an",Table1[[#This Row],[name]],"_ID")</f>
        <v>anUNK1F_ID</v>
      </c>
      <c r="K33" s="1" t="str">
        <f>CONCATENATE(Table1[[#This Row],[asm]]," = $",Table1[[#This Row],[idh]])</f>
        <v>anUNK1F_ID = $1F</v>
      </c>
      <c r="L33" s="1" t="str">
        <f>CONCATENATE("animNames.append(""",Table1[[#This Row],[name]],""")")</f>
        <v>animNames.append("UNK1F")</v>
      </c>
      <c r="M33" s="8" t="str">
        <f>CONCATENATE("reqSprBanks.append(0x",Table1[[#This Row],[imgbank]],")")</f>
        <v>reqSprBanks.append(0x04,0A)</v>
      </c>
    </row>
    <row r="34" spans="1:13" x14ac:dyDescent="0.25">
      <c r="A34" s="1">
        <v>32</v>
      </c>
      <c r="B34" s="1" t="s">
        <v>1127</v>
      </c>
      <c r="C34" s="2" t="s">
        <v>17</v>
      </c>
      <c r="D34" s="1" t="str">
        <f>CONCATENATE("UNK",Table1[[#This Row],[idh]])</f>
        <v>UNK20</v>
      </c>
      <c r="E34" s="3" t="s">
        <v>769</v>
      </c>
      <c r="F34" s="1" t="s">
        <v>412</v>
      </c>
      <c r="G34" s="2" t="s">
        <v>1588</v>
      </c>
      <c r="H34" s="1"/>
      <c r="I34" s="1" t="str">
        <f>Table1[[#This Row],[idh]]</f>
        <v>20</v>
      </c>
      <c r="J34" s="1" t="str">
        <f>CONCATENATE("an",Table1[[#This Row],[name]],"_ID")</f>
        <v>anUNK20_ID</v>
      </c>
      <c r="K34" s="1" t="str">
        <f>CONCATENATE(Table1[[#This Row],[asm]]," = $",Table1[[#This Row],[idh]])</f>
        <v>anUNK20_ID = $20</v>
      </c>
      <c r="L34" s="1" t="str">
        <f>CONCATENATE("animNames.append(""",Table1[[#This Row],[name]],""")")</f>
        <v>animNames.append("UNK20")</v>
      </c>
      <c r="M34" s="8" t="str">
        <f>CONCATENATE("reqSprBanks.append(0x",Table1[[#This Row],[imgbank]],")")</f>
        <v>reqSprBanks.append(0x04,0A)</v>
      </c>
    </row>
    <row r="35" spans="1:13" x14ac:dyDescent="0.25">
      <c r="A35" s="1">
        <v>33</v>
      </c>
      <c r="B35" s="1" t="s">
        <v>1128</v>
      </c>
      <c r="C35" s="2" t="s">
        <v>294</v>
      </c>
      <c r="D35" s="1" t="str">
        <f>CONCATENATE("UNK",Table1[[#This Row],[idh]])</f>
        <v>UNK21</v>
      </c>
      <c r="E35" s="3" t="s">
        <v>768</v>
      </c>
      <c r="F35" s="1" t="s">
        <v>413</v>
      </c>
      <c r="G35" s="2" t="s">
        <v>1588</v>
      </c>
      <c r="H35" s="1"/>
      <c r="I35" s="1" t="str">
        <f>Table1[[#This Row],[idh]]</f>
        <v>21</v>
      </c>
      <c r="J35" s="1" t="str">
        <f>CONCATENATE("an",Table1[[#This Row],[name]],"_ID")</f>
        <v>anUNK21_ID</v>
      </c>
      <c r="K35" s="1" t="str">
        <f>CONCATENATE(Table1[[#This Row],[asm]]," = $",Table1[[#This Row],[idh]])</f>
        <v>anUNK21_ID = $21</v>
      </c>
      <c r="L35" s="1" t="str">
        <f>CONCATENATE("animNames.append(""",Table1[[#This Row],[name]],""")")</f>
        <v>animNames.append("UNK21")</v>
      </c>
      <c r="M35" s="8" t="str">
        <f>CONCATENATE("reqSprBanks.append(0x",Table1[[#This Row],[imgbank]],")")</f>
        <v>reqSprBanks.append(0x04,0A)</v>
      </c>
    </row>
    <row r="36" spans="1:13" x14ac:dyDescent="0.25">
      <c r="A36" s="1">
        <v>34</v>
      </c>
      <c r="B36" s="1" t="s">
        <v>1129</v>
      </c>
      <c r="C36" s="2" t="s">
        <v>295</v>
      </c>
      <c r="D36" s="1" t="str">
        <f>CONCATENATE("UNK",Table1[[#This Row],[idh]])</f>
        <v>UNK22</v>
      </c>
      <c r="E36" s="3" t="s">
        <v>769</v>
      </c>
      <c r="F36" s="1" t="s">
        <v>413</v>
      </c>
      <c r="G36" s="2" t="s">
        <v>1588</v>
      </c>
      <c r="H36" s="1"/>
      <c r="I36" s="1" t="str">
        <f>Table1[[#This Row],[idh]]</f>
        <v>22</v>
      </c>
      <c r="J36" s="1" t="str">
        <f>CONCATENATE("an",Table1[[#This Row],[name]],"_ID")</f>
        <v>anUNK22_ID</v>
      </c>
      <c r="K36" s="1" t="str">
        <f>CONCATENATE(Table1[[#This Row],[asm]]," = $",Table1[[#This Row],[idh]])</f>
        <v>anUNK22_ID = $22</v>
      </c>
      <c r="L36" s="1" t="str">
        <f>CONCATENATE("animNames.append(""",Table1[[#This Row],[name]],""")")</f>
        <v>animNames.append("UNK22")</v>
      </c>
      <c r="M36" s="8" t="str">
        <f>CONCATENATE("reqSprBanks.append(0x",Table1[[#This Row],[imgbank]],")")</f>
        <v>reqSprBanks.append(0x04,0A)</v>
      </c>
    </row>
    <row r="37" spans="1:13" x14ac:dyDescent="0.25">
      <c r="A37" s="1">
        <v>35</v>
      </c>
      <c r="B37" s="1" t="s">
        <v>1130</v>
      </c>
      <c r="C37" s="2" t="s">
        <v>18</v>
      </c>
      <c r="D37" s="1" t="s">
        <v>766</v>
      </c>
      <c r="E37" s="3" t="s">
        <v>483</v>
      </c>
      <c r="F37" s="1" t="s">
        <v>405</v>
      </c>
      <c r="G37" s="2" t="s">
        <v>1588</v>
      </c>
      <c r="H37" s="1"/>
      <c r="I37" s="1" t="str">
        <f>Table1[[#This Row],[idh]]</f>
        <v>23</v>
      </c>
      <c r="J37" s="1" t="str">
        <f>CONCATENATE("an",Table1[[#This Row],[name]],"_ID")</f>
        <v>anPlayerInhale4L_ID</v>
      </c>
      <c r="K37" s="1" t="str">
        <f>CONCATENATE(Table1[[#This Row],[asm]]," = $",Table1[[#This Row],[idh]])</f>
        <v>anPlayerInhale4L_ID = $23</v>
      </c>
      <c r="L37" s="1" t="str">
        <f>CONCATENATE("animNames.append(""",Table1[[#This Row],[name]],""")")</f>
        <v>animNames.append("PlayerInhale4L")</v>
      </c>
      <c r="M37" s="8" t="str">
        <f>CONCATENATE("reqSprBanks.append(0x",Table1[[#This Row],[imgbank]],")")</f>
        <v>reqSprBanks.append(0x04,0A)</v>
      </c>
    </row>
    <row r="38" spans="1:13" x14ac:dyDescent="0.25">
      <c r="A38" s="1">
        <v>36</v>
      </c>
      <c r="B38" s="1" t="s">
        <v>1131</v>
      </c>
      <c r="C38" s="2" t="s">
        <v>19</v>
      </c>
      <c r="D38" s="1" t="s">
        <v>767</v>
      </c>
      <c r="E38" s="3" t="s">
        <v>484</v>
      </c>
      <c r="F38" s="1" t="s">
        <v>405</v>
      </c>
      <c r="G38" s="2" t="s">
        <v>1588</v>
      </c>
      <c r="H38" s="1"/>
      <c r="I38" s="1" t="str">
        <f>Table1[[#This Row],[idh]]</f>
        <v>24</v>
      </c>
      <c r="J38" s="1" t="str">
        <f>CONCATENATE("an",Table1[[#This Row],[name]],"_ID")</f>
        <v>anPlayerInhale4R_ID</v>
      </c>
      <c r="K38" s="1" t="str">
        <f>CONCATENATE(Table1[[#This Row],[asm]]," = $",Table1[[#This Row],[idh]])</f>
        <v>anPlayerInhale4R_ID = $24</v>
      </c>
      <c r="L38" s="1" t="str">
        <f>CONCATENATE("animNames.append(""",Table1[[#This Row],[name]],""")")</f>
        <v>animNames.append("PlayerInhale4R")</v>
      </c>
      <c r="M38" s="8" t="str">
        <f>CONCATENATE("reqSprBanks.append(0x",Table1[[#This Row],[imgbank]],")")</f>
        <v>reqSprBanks.append(0x04,0A)</v>
      </c>
    </row>
    <row r="39" spans="1:13" x14ac:dyDescent="0.25">
      <c r="A39" s="1">
        <v>37</v>
      </c>
      <c r="B39" s="1" t="s">
        <v>1132</v>
      </c>
      <c r="C39" s="2" t="s">
        <v>20</v>
      </c>
      <c r="D39" s="1" t="s">
        <v>770</v>
      </c>
      <c r="E39" s="3" t="s">
        <v>485</v>
      </c>
      <c r="F39" s="1" t="s">
        <v>414</v>
      </c>
      <c r="G39" s="2" t="s">
        <v>1588</v>
      </c>
      <c r="H39" s="1"/>
      <c r="I39" s="1" t="str">
        <f>Table1[[#This Row],[idh]]</f>
        <v>25</v>
      </c>
      <c r="J39" s="1" t="str">
        <f>CONCATENATE("an",Table1[[#This Row],[name]],"_ID")</f>
        <v>anPlayerRoundStart_ID</v>
      </c>
      <c r="K39" s="1" t="str">
        <f>CONCATENATE(Table1[[#This Row],[asm]]," = $",Table1[[#This Row],[idh]])</f>
        <v>anPlayerRoundStart_ID = $25</v>
      </c>
      <c r="L39" s="1" t="str">
        <f>CONCATENATE("animNames.append(""",Table1[[#This Row],[name]],""")")</f>
        <v>animNames.append("PlayerRoundStart")</v>
      </c>
      <c r="M39" s="8" t="str">
        <f>CONCATENATE("reqSprBanks.append(0x",Table1[[#This Row],[imgbank]],")")</f>
        <v>reqSprBanks.append(0x04,0A)</v>
      </c>
    </row>
    <row r="40" spans="1:13" x14ac:dyDescent="0.25">
      <c r="A40" s="1">
        <v>38</v>
      </c>
      <c r="B40" s="1" t="s">
        <v>1133</v>
      </c>
      <c r="C40" s="2" t="s">
        <v>296</v>
      </c>
      <c r="D40" s="1" t="s">
        <v>771</v>
      </c>
      <c r="E40" s="3" t="s">
        <v>498</v>
      </c>
      <c r="F40" s="1" t="s">
        <v>402</v>
      </c>
      <c r="G40" s="2" t="s">
        <v>1588</v>
      </c>
      <c r="H40" s="1"/>
      <c r="I40" s="1" t="str">
        <f>Table1[[#This Row],[idh]]</f>
        <v>26</v>
      </c>
      <c r="J40" s="1" t="str">
        <f>CONCATENATE("an",Table1[[#This Row],[name]],"_ID")</f>
        <v>anPlayerRotateL_ID</v>
      </c>
      <c r="K40" s="1" t="str">
        <f>CONCATENATE(Table1[[#This Row],[asm]]," = $",Table1[[#This Row],[idh]])</f>
        <v>anPlayerRotateL_ID = $26</v>
      </c>
      <c r="L40" s="1" t="str">
        <f>CONCATENATE("animNames.append(""",Table1[[#This Row],[name]],""")")</f>
        <v>animNames.append("PlayerRotateL")</v>
      </c>
      <c r="M40" s="8" t="str">
        <f>CONCATENATE("reqSprBanks.append(0x",Table1[[#This Row],[imgbank]],")")</f>
        <v>reqSprBanks.append(0x04,0A)</v>
      </c>
    </row>
    <row r="41" spans="1:13" x14ac:dyDescent="0.25">
      <c r="A41" s="1">
        <v>39</v>
      </c>
      <c r="B41" s="1" t="s">
        <v>1134</v>
      </c>
      <c r="C41" s="2" t="s">
        <v>21</v>
      </c>
      <c r="D41" s="1" t="s">
        <v>774</v>
      </c>
      <c r="E41" s="3" t="s">
        <v>773</v>
      </c>
      <c r="F41" s="1" t="s">
        <v>401</v>
      </c>
      <c r="G41" s="2" t="s">
        <v>1588</v>
      </c>
      <c r="H41" s="1"/>
      <c r="I41" s="1" t="str">
        <f>Table1[[#This Row],[idh]]</f>
        <v>27</v>
      </c>
      <c r="J41" s="1" t="str">
        <f>CONCATENATE("an",Table1[[#This Row],[name]],"_ID")</f>
        <v>anBubble_ID</v>
      </c>
      <c r="K41" s="1" t="str">
        <f>CONCATENATE(Table1[[#This Row],[asm]]," = $",Table1[[#This Row],[idh]])</f>
        <v>anBubble_ID = $27</v>
      </c>
      <c r="L41" s="1" t="str">
        <f>CONCATENATE("animNames.append(""",Table1[[#This Row],[name]],""")")</f>
        <v>animNames.append("Bubble")</v>
      </c>
      <c r="M41" s="8" t="str">
        <f>CONCATENATE("reqSprBanks.append(0x",Table1[[#This Row],[imgbank]],")")</f>
        <v>reqSprBanks.append(0x04,0A)</v>
      </c>
    </row>
    <row r="42" spans="1:13" x14ac:dyDescent="0.25">
      <c r="A42" s="1">
        <v>40</v>
      </c>
      <c r="B42" s="1" t="s">
        <v>1135</v>
      </c>
      <c r="C42" s="2" t="s">
        <v>22</v>
      </c>
      <c r="D42" s="1" t="s">
        <v>764</v>
      </c>
      <c r="E42" s="3" t="s">
        <v>492</v>
      </c>
      <c r="F42" s="1" t="s">
        <v>407</v>
      </c>
      <c r="G42" s="2" t="s">
        <v>1588</v>
      </c>
      <c r="H42" s="1"/>
      <c r="I42" s="1" t="str">
        <f>Table1[[#This Row],[idh]]</f>
        <v>28</v>
      </c>
      <c r="J42" s="1" t="str">
        <f>CONCATENATE("an",Table1[[#This Row],[name]],"_ID")</f>
        <v>anPlayerInhale3L_ID</v>
      </c>
      <c r="K42" s="1" t="str">
        <f>CONCATENATE(Table1[[#This Row],[asm]]," = $",Table1[[#This Row],[idh]])</f>
        <v>anPlayerInhale3L_ID = $28</v>
      </c>
      <c r="L42" s="1" t="str">
        <f>CONCATENATE("animNames.append(""",Table1[[#This Row],[name]],""")")</f>
        <v>animNames.append("PlayerInhale3L")</v>
      </c>
      <c r="M42" s="8" t="str">
        <f>CONCATENATE("reqSprBanks.append(0x",Table1[[#This Row],[imgbank]],")")</f>
        <v>reqSprBanks.append(0x04,0A)</v>
      </c>
    </row>
    <row r="43" spans="1:13" x14ac:dyDescent="0.25">
      <c r="A43" s="1">
        <v>41</v>
      </c>
      <c r="B43" s="1" t="s">
        <v>1136</v>
      </c>
      <c r="C43" s="2" t="s">
        <v>297</v>
      </c>
      <c r="D43" s="1" t="s">
        <v>765</v>
      </c>
      <c r="E43" s="3" t="s">
        <v>486</v>
      </c>
      <c r="F43" s="1" t="s">
        <v>407</v>
      </c>
      <c r="G43" s="2" t="s">
        <v>1588</v>
      </c>
      <c r="H43" s="1"/>
      <c r="I43" s="1" t="str">
        <f>Table1[[#This Row],[idh]]</f>
        <v>29</v>
      </c>
      <c r="J43" s="1" t="str">
        <f>CONCATENATE("an",Table1[[#This Row],[name]],"_ID")</f>
        <v>anPlayerInhale3R_ID</v>
      </c>
      <c r="K43" s="1" t="str">
        <f>CONCATENATE(Table1[[#This Row],[asm]]," = $",Table1[[#This Row],[idh]])</f>
        <v>anPlayerInhale3R_ID = $29</v>
      </c>
      <c r="L43" s="1" t="str">
        <f>CONCATENATE("animNames.append(""",Table1[[#This Row],[name]],""")")</f>
        <v>animNames.append("PlayerInhale3R")</v>
      </c>
      <c r="M43" s="8" t="str">
        <f>CONCATENATE("reqSprBanks.append(0x",Table1[[#This Row],[imgbank]],")")</f>
        <v>reqSprBanks.append(0x04,0A)</v>
      </c>
    </row>
    <row r="44" spans="1:13" x14ac:dyDescent="0.25">
      <c r="A44" s="1">
        <v>42</v>
      </c>
      <c r="B44" s="1" t="s">
        <v>1137</v>
      </c>
      <c r="C44" s="2" t="s">
        <v>23</v>
      </c>
      <c r="D44" s="1" t="s">
        <v>756</v>
      </c>
      <c r="E44" s="3" t="s">
        <v>487</v>
      </c>
      <c r="F44" s="1" t="s">
        <v>413</v>
      </c>
      <c r="G44" s="2" t="s">
        <v>1588</v>
      </c>
      <c r="H44" s="1"/>
      <c r="I44" s="1" t="str">
        <f>Table1[[#This Row],[idh]]</f>
        <v>2A</v>
      </c>
      <c r="J44" s="1" t="str">
        <f>CONCATENATE("an",Table1[[#This Row],[name]],"_ID")</f>
        <v>anPlayerDie_ID</v>
      </c>
      <c r="K44" s="1" t="str">
        <f>CONCATENATE(Table1[[#This Row],[asm]]," = $",Table1[[#This Row],[idh]])</f>
        <v>anPlayerDie_ID = $2A</v>
      </c>
      <c r="L44" s="1" t="str">
        <f>CONCATENATE("animNames.append(""",Table1[[#This Row],[name]],""")")</f>
        <v>animNames.append("PlayerDie")</v>
      </c>
      <c r="M44" s="8" t="str">
        <f>CONCATENATE("reqSprBanks.append(0x",Table1[[#This Row],[imgbank]],")")</f>
        <v>reqSprBanks.append(0x04,0A)</v>
      </c>
    </row>
    <row r="45" spans="1:13" x14ac:dyDescent="0.25">
      <c r="A45" s="1">
        <v>43</v>
      </c>
      <c r="B45" s="1" t="s">
        <v>1138</v>
      </c>
      <c r="C45" s="2" t="s">
        <v>298</v>
      </c>
      <c r="D45" s="1" t="s">
        <v>775</v>
      </c>
      <c r="E45" s="3" t="s">
        <v>488</v>
      </c>
      <c r="F45" s="1" t="s">
        <v>413</v>
      </c>
      <c r="G45" s="2" t="s">
        <v>1588</v>
      </c>
      <c r="H45" s="1"/>
      <c r="I45" s="1" t="str">
        <f>Table1[[#This Row],[idh]]</f>
        <v>2B</v>
      </c>
      <c r="J45" s="1" t="str">
        <f>CONCATENATE("an",Table1[[#This Row],[name]],"_ID")</f>
        <v>anPlayerWin_ID</v>
      </c>
      <c r="K45" s="1" t="str">
        <f>CONCATENATE(Table1[[#This Row],[asm]]," = $",Table1[[#This Row],[idh]])</f>
        <v>anPlayerWin_ID = $2B</v>
      </c>
      <c r="L45" s="1" t="str">
        <f>CONCATENATE("animNames.append(""",Table1[[#This Row],[name]],""")")</f>
        <v>animNames.append("PlayerWin")</v>
      </c>
      <c r="M45" s="8" t="str">
        <f>CONCATENATE("reqSprBanks.append(0x",Table1[[#This Row],[imgbank]],")")</f>
        <v>reqSprBanks.append(0x04,0A)</v>
      </c>
    </row>
    <row r="46" spans="1:13" x14ac:dyDescent="0.25">
      <c r="A46" s="1">
        <v>44</v>
      </c>
      <c r="B46" s="1" t="s">
        <v>1139</v>
      </c>
      <c r="C46" s="2" t="s">
        <v>299</v>
      </c>
      <c r="D46" s="4" t="s">
        <v>1511</v>
      </c>
      <c r="E46" s="3" t="s">
        <v>489</v>
      </c>
      <c r="F46" s="1" t="s">
        <v>408</v>
      </c>
      <c r="G46" s="2" t="s">
        <v>1588</v>
      </c>
      <c r="H46" s="1"/>
      <c r="I46" s="1" t="str">
        <f>Table1[[#This Row],[idh]]</f>
        <v>2C</v>
      </c>
      <c r="J46" s="1" t="str">
        <f>CONCATENATE("an",Table1[[#This Row],[name]],"_ID")</f>
        <v>anPlayerLoseL_ID</v>
      </c>
      <c r="K46" s="1" t="str">
        <f>CONCATENATE(Table1[[#This Row],[asm]]," = $",Table1[[#This Row],[idh]])</f>
        <v>anPlayerLoseL_ID = $2C</v>
      </c>
      <c r="L46" s="1" t="str">
        <f>CONCATENATE("animNames.append(""",Table1[[#This Row],[name]],""")")</f>
        <v>animNames.append("PlayerLoseL")</v>
      </c>
      <c r="M46" s="8" t="str">
        <f>CONCATENATE("reqSprBanks.append(0x",Table1[[#This Row],[imgbank]],")")</f>
        <v>reqSprBanks.append(0x04,0A)</v>
      </c>
    </row>
    <row r="47" spans="1:13" x14ac:dyDescent="0.25">
      <c r="A47" s="1">
        <v>45</v>
      </c>
      <c r="B47" s="1" t="s">
        <v>1140</v>
      </c>
      <c r="C47" s="2" t="s">
        <v>24</v>
      </c>
      <c r="D47" s="4" t="s">
        <v>1510</v>
      </c>
      <c r="E47" s="3" t="s">
        <v>490</v>
      </c>
      <c r="F47" s="1" t="s">
        <v>408</v>
      </c>
      <c r="G47" s="2" t="s">
        <v>1588</v>
      </c>
      <c r="H47" s="1"/>
      <c r="I47" s="1" t="str">
        <f>Table1[[#This Row],[idh]]</f>
        <v>2D</v>
      </c>
      <c r="J47" s="1" t="str">
        <f>CONCATENATE("an",Table1[[#This Row],[name]],"_ID")</f>
        <v>anPlayerLoseR_ID</v>
      </c>
      <c r="K47" s="1" t="str">
        <f>CONCATENATE(Table1[[#This Row],[asm]]," = $",Table1[[#This Row],[idh]])</f>
        <v>anPlayerLoseR_ID = $2D</v>
      </c>
      <c r="L47" s="1" t="str">
        <f>CONCATENATE("animNames.append(""",Table1[[#This Row],[name]],""")")</f>
        <v>animNames.append("PlayerLoseR")</v>
      </c>
      <c r="M47" s="8" t="str">
        <f>CONCATENATE("reqSprBanks.append(0x",Table1[[#This Row],[imgbank]],")")</f>
        <v>reqSprBanks.append(0x04,0A)</v>
      </c>
    </row>
    <row r="48" spans="1:13" x14ac:dyDescent="0.25">
      <c r="A48" s="1">
        <v>46</v>
      </c>
      <c r="B48" s="1" t="s">
        <v>1141</v>
      </c>
      <c r="C48" s="2" t="s">
        <v>25</v>
      </c>
      <c r="D48" s="1" t="s">
        <v>776</v>
      </c>
      <c r="E48" s="3" t="s">
        <v>491</v>
      </c>
      <c r="F48" s="1" t="s">
        <v>401</v>
      </c>
      <c r="G48" s="2" t="s">
        <v>1588</v>
      </c>
      <c r="H48" s="1"/>
      <c r="I48" s="1" t="str">
        <f>Table1[[#This Row],[idh]]</f>
        <v>2E</v>
      </c>
      <c r="J48" s="1" t="str">
        <f>CONCATENATE("an",Table1[[#This Row],[name]],"_ID")</f>
        <v>anBubblePop_ID</v>
      </c>
      <c r="K48" s="1" t="str">
        <f>CONCATENATE(Table1[[#This Row],[asm]]," = $",Table1[[#This Row],[idh]])</f>
        <v>anBubblePop_ID = $2E</v>
      </c>
      <c r="L48" s="1" t="str">
        <f>CONCATENATE("animNames.append(""",Table1[[#This Row],[name]],""")")</f>
        <v>animNames.append("BubblePop")</v>
      </c>
      <c r="M48" s="8" t="str">
        <f>CONCATENATE("reqSprBanks.append(0x",Table1[[#This Row],[imgbank]],")")</f>
        <v>reqSprBanks.append(0x04,0A)</v>
      </c>
    </row>
    <row r="49" spans="1:13" x14ac:dyDescent="0.25">
      <c r="A49" s="1">
        <v>47</v>
      </c>
      <c r="B49" s="1" t="s">
        <v>1142</v>
      </c>
      <c r="C49" s="2" t="s">
        <v>300</v>
      </c>
      <c r="D49" s="4" t="s">
        <v>1521</v>
      </c>
      <c r="E49" s="3" t="s">
        <v>1522</v>
      </c>
      <c r="F49" s="1" t="s">
        <v>401</v>
      </c>
      <c r="G49" s="2" t="s">
        <v>1588</v>
      </c>
      <c r="H49" s="1"/>
      <c r="I49" s="1" t="str">
        <f>Table1[[#This Row],[idh]]</f>
        <v>2F</v>
      </c>
      <c r="J49" s="1" t="str">
        <f>CONCATENATE("an",Table1[[#This Row],[name]],"_ID")</f>
        <v>anBubbleEmerge_ID</v>
      </c>
      <c r="K49" s="1" t="str">
        <f>CONCATENATE(Table1[[#This Row],[asm]]," = $",Table1[[#This Row],[idh]])</f>
        <v>anBubbleEmerge_ID = $2F</v>
      </c>
      <c r="L49" s="1" t="str">
        <f>CONCATENATE("animNames.append(""",Table1[[#This Row],[name]],""")")</f>
        <v>animNames.append("BubbleEmerge")</v>
      </c>
      <c r="M49" s="8" t="str">
        <f>CONCATENATE("reqSprBanks.append(0x",Table1[[#This Row],[imgbank]],")")</f>
        <v>reqSprBanks.append(0x04,0A)</v>
      </c>
    </row>
    <row r="50" spans="1:13" x14ac:dyDescent="0.25">
      <c r="A50" s="1">
        <v>48</v>
      </c>
      <c r="B50" s="1" t="s">
        <v>1143</v>
      </c>
      <c r="C50" s="2" t="s">
        <v>26</v>
      </c>
      <c r="D50" s="4" t="s">
        <v>777</v>
      </c>
      <c r="E50" s="3" t="s">
        <v>493</v>
      </c>
      <c r="F50" s="1" t="s">
        <v>401</v>
      </c>
      <c r="G50" s="2" t="s">
        <v>1588</v>
      </c>
      <c r="H50" s="1"/>
      <c r="I50" s="1" t="str">
        <f>Table1[[#This Row],[idh]]</f>
        <v>30</v>
      </c>
      <c r="J50" s="1" t="str">
        <f>CONCATENATE("an",Table1[[#This Row],[name]],"_ID")</f>
        <v>anBubbleWeak_ID</v>
      </c>
      <c r="K50" s="1" t="str">
        <f>CONCATENATE(Table1[[#This Row],[asm]]," = $",Table1[[#This Row],[idh]])</f>
        <v>anBubbleWeak_ID = $30</v>
      </c>
      <c r="L50" s="1" t="str">
        <f>CONCATENATE("animNames.append(""",Table1[[#This Row],[name]],""")")</f>
        <v>animNames.append("BubbleWeak")</v>
      </c>
      <c r="M50" s="8" t="str">
        <f>CONCATENATE("reqSprBanks.append(0x",Table1[[#This Row],[imgbank]],")")</f>
        <v>reqSprBanks.append(0x04,0A)</v>
      </c>
    </row>
    <row r="51" spans="1:13" x14ac:dyDescent="0.25">
      <c r="A51" s="1">
        <v>49</v>
      </c>
      <c r="B51" s="1" t="s">
        <v>1144</v>
      </c>
      <c r="C51" s="2" t="s">
        <v>301</v>
      </c>
      <c r="D51" s="1" t="s">
        <v>778</v>
      </c>
      <c r="E51" s="3" t="s">
        <v>494</v>
      </c>
      <c r="F51" s="1" t="s">
        <v>401</v>
      </c>
      <c r="G51" s="2" t="s">
        <v>1588</v>
      </c>
      <c r="H51" s="1"/>
      <c r="I51" s="1" t="str">
        <f>Table1[[#This Row],[idh]]</f>
        <v>31</v>
      </c>
      <c r="J51" s="1" t="str">
        <f>CONCATENATE("an",Table1[[#This Row],[name]],"_ID")</f>
        <v>anDoubleBubble_ID</v>
      </c>
      <c r="K51" s="1" t="str">
        <f>CONCATENATE(Table1[[#This Row],[asm]]," = $",Table1[[#This Row],[idh]])</f>
        <v>anDoubleBubble_ID = $31</v>
      </c>
      <c r="L51" s="1" t="str">
        <f>CONCATENATE("animNames.append(""",Table1[[#This Row],[name]],""")")</f>
        <v>animNames.append("DoubleBubble")</v>
      </c>
      <c r="M51" s="8" t="str">
        <f>CONCATENATE("reqSprBanks.append(0x",Table1[[#This Row],[imgbank]],")")</f>
        <v>reqSprBanks.append(0x04,0A)</v>
      </c>
    </row>
    <row r="52" spans="1:13" x14ac:dyDescent="0.25">
      <c r="A52" s="1">
        <v>50</v>
      </c>
      <c r="B52" s="1" t="s">
        <v>1145</v>
      </c>
      <c r="C52" s="2" t="s">
        <v>302</v>
      </c>
      <c r="D52" s="1" t="s">
        <v>779</v>
      </c>
      <c r="E52" s="3" t="s">
        <v>495</v>
      </c>
      <c r="F52" s="1" t="s">
        <v>401</v>
      </c>
      <c r="G52" s="2" t="s">
        <v>1588</v>
      </c>
      <c r="H52" s="1"/>
      <c r="I52" s="1" t="str">
        <f>Table1[[#This Row],[idh]]</f>
        <v>32</v>
      </c>
      <c r="J52" s="1" t="str">
        <f>CONCATENATE("an",Table1[[#This Row],[name]],"_ID")</f>
        <v>anTripleBubble_ID</v>
      </c>
      <c r="K52" s="1" t="str">
        <f>CONCATENATE(Table1[[#This Row],[asm]]," = $",Table1[[#This Row],[idh]])</f>
        <v>anTripleBubble_ID = $32</v>
      </c>
      <c r="L52" s="1" t="str">
        <f>CONCATENATE("animNames.append(""",Table1[[#This Row],[name]],""")")</f>
        <v>animNames.append("TripleBubble")</v>
      </c>
      <c r="M52" s="8" t="str">
        <f>CONCATENATE("reqSprBanks.append(0x",Table1[[#This Row],[imgbank]],")")</f>
        <v>reqSprBanks.append(0x04,0A)</v>
      </c>
    </row>
    <row r="53" spans="1:13" x14ac:dyDescent="0.25">
      <c r="A53" s="1">
        <v>51</v>
      </c>
      <c r="B53" s="1" t="s">
        <v>1146</v>
      </c>
      <c r="C53" s="2" t="s">
        <v>303</v>
      </c>
      <c r="D53" s="1" t="s">
        <v>780</v>
      </c>
      <c r="E53" s="3" t="s">
        <v>496</v>
      </c>
      <c r="F53" s="1" t="s">
        <v>412</v>
      </c>
      <c r="G53" s="2" t="s">
        <v>1588</v>
      </c>
      <c r="H53" s="1"/>
      <c r="I53" s="1" t="str">
        <f>Table1[[#This Row],[idh]]</f>
        <v>33</v>
      </c>
      <c r="J53" s="1" t="str">
        <f>CONCATENATE("an",Table1[[#This Row],[name]],"_ID")</f>
        <v>anPlayerShootL_ID</v>
      </c>
      <c r="K53" s="1" t="str">
        <f>CONCATENATE(Table1[[#This Row],[asm]]," = $",Table1[[#This Row],[idh]])</f>
        <v>anPlayerShootL_ID = $33</v>
      </c>
      <c r="L53" s="1" t="str">
        <f>CONCATENATE("animNames.append(""",Table1[[#This Row],[name]],""")")</f>
        <v>animNames.append("PlayerShootL")</v>
      </c>
      <c r="M53" s="8" t="str">
        <f>CONCATENATE("reqSprBanks.append(0x",Table1[[#This Row],[imgbank]],")")</f>
        <v>reqSprBanks.append(0x04,0A)</v>
      </c>
    </row>
    <row r="54" spans="1:13" x14ac:dyDescent="0.25">
      <c r="A54" s="1">
        <v>52</v>
      </c>
      <c r="B54" s="1" t="s">
        <v>1147</v>
      </c>
      <c r="C54" s="2" t="s">
        <v>27</v>
      </c>
      <c r="D54" s="1" t="s">
        <v>781</v>
      </c>
      <c r="E54" s="3" t="s">
        <v>497</v>
      </c>
      <c r="F54" s="1" t="s">
        <v>412</v>
      </c>
      <c r="G54" s="2" t="s">
        <v>1588</v>
      </c>
      <c r="H54" s="1"/>
      <c r="I54" s="1" t="str">
        <f>Table1[[#This Row],[idh]]</f>
        <v>34</v>
      </c>
      <c r="J54" s="1" t="str">
        <f>CONCATENATE("an",Table1[[#This Row],[name]],"_ID")</f>
        <v>anPlayerShootR_ID</v>
      </c>
      <c r="K54" s="1" t="str">
        <f>CONCATENATE(Table1[[#This Row],[asm]]," = $",Table1[[#This Row],[idh]])</f>
        <v>anPlayerShootR_ID = $34</v>
      </c>
      <c r="L54" s="1" t="str">
        <f>CONCATENATE("animNames.append(""",Table1[[#This Row],[name]],""")")</f>
        <v>animNames.append("PlayerShootR")</v>
      </c>
      <c r="M54" s="8" t="str">
        <f>CONCATENATE("reqSprBanks.append(0x",Table1[[#This Row],[imgbank]],")")</f>
        <v>reqSprBanks.append(0x04,0A)</v>
      </c>
    </row>
    <row r="55" spans="1:13" x14ac:dyDescent="0.25">
      <c r="A55" s="1">
        <v>53</v>
      </c>
      <c r="B55" s="1" t="s">
        <v>1148</v>
      </c>
      <c r="C55" s="2" t="s">
        <v>304</v>
      </c>
      <c r="D55" s="1" t="str">
        <f>CONCATENATE("UNK",Table1[[#This Row],[idh]])</f>
        <v>UNK35</v>
      </c>
      <c r="E55" s="3" t="s">
        <v>782</v>
      </c>
      <c r="F55" s="1" t="s">
        <v>411</v>
      </c>
      <c r="G55" s="2" t="s">
        <v>1588</v>
      </c>
      <c r="H55" s="1"/>
      <c r="I55" s="1" t="str">
        <f>Table1[[#This Row],[idh]]</f>
        <v>35</v>
      </c>
      <c r="J55" s="1" t="str">
        <f>CONCATENATE("an",Table1[[#This Row],[name]],"_ID")</f>
        <v>anUNK35_ID</v>
      </c>
      <c r="K55" s="1" t="str">
        <f>CONCATENATE(Table1[[#This Row],[asm]]," = $",Table1[[#This Row],[idh]])</f>
        <v>anUNK35_ID = $35</v>
      </c>
      <c r="L55" s="1" t="str">
        <f>CONCATENATE("animNames.append(""",Table1[[#This Row],[name]],""")")</f>
        <v>animNames.append("UNK35")</v>
      </c>
      <c r="M55" s="8" t="str">
        <f>CONCATENATE("reqSprBanks.append(0x",Table1[[#This Row],[imgbank]],")")</f>
        <v>reqSprBanks.append(0x04,0A)</v>
      </c>
    </row>
    <row r="56" spans="1:13" x14ac:dyDescent="0.25">
      <c r="A56" s="1">
        <v>54</v>
      </c>
      <c r="B56" s="1" t="s">
        <v>1149</v>
      </c>
      <c r="C56" s="2" t="s">
        <v>305</v>
      </c>
      <c r="D56" s="1" t="str">
        <f>CONCATENATE("UNK",Table1[[#This Row],[idh]])</f>
        <v>UNK36</v>
      </c>
      <c r="E56" s="3" t="s">
        <v>783</v>
      </c>
      <c r="F56" s="1" t="s">
        <v>411</v>
      </c>
      <c r="G56" s="2" t="s">
        <v>1588</v>
      </c>
      <c r="H56" s="1"/>
      <c r="I56" s="1" t="str">
        <f>Table1[[#This Row],[idh]]</f>
        <v>36</v>
      </c>
      <c r="J56" s="1" t="str">
        <f>CONCATENATE("an",Table1[[#This Row],[name]],"_ID")</f>
        <v>anUNK36_ID</v>
      </c>
      <c r="K56" s="1" t="str">
        <f>CONCATENATE(Table1[[#This Row],[asm]]," = $",Table1[[#This Row],[idh]])</f>
        <v>anUNK36_ID = $36</v>
      </c>
      <c r="L56" s="1" t="str">
        <f>CONCATENATE("animNames.append(""",Table1[[#This Row],[name]],""")")</f>
        <v>animNames.append("UNK36")</v>
      </c>
      <c r="M56" s="8" t="str">
        <f>CONCATENATE("reqSprBanks.append(0x",Table1[[#This Row],[imgbank]],")")</f>
        <v>reqSprBanks.append(0x04,0A)</v>
      </c>
    </row>
    <row r="57" spans="1:13" x14ac:dyDescent="0.25">
      <c r="A57" s="1">
        <v>55</v>
      </c>
      <c r="B57" s="1" t="s">
        <v>1150</v>
      </c>
      <c r="C57" s="2" t="s">
        <v>306</v>
      </c>
      <c r="D57" s="1" t="s">
        <v>772</v>
      </c>
      <c r="E57" s="3" t="s">
        <v>499</v>
      </c>
      <c r="F57" s="1" t="s">
        <v>402</v>
      </c>
      <c r="G57" s="2" t="s">
        <v>1588</v>
      </c>
      <c r="H57" s="1"/>
      <c r="I57" s="1" t="str">
        <f>Table1[[#This Row],[idh]]</f>
        <v>37</v>
      </c>
      <c r="J57" s="1" t="str">
        <f>CONCATENATE("an",Table1[[#This Row],[name]],"_ID")</f>
        <v>anPlayerRotateR_ID</v>
      </c>
      <c r="K57" s="1" t="str">
        <f>CONCATENATE(Table1[[#This Row],[asm]]," = $",Table1[[#This Row],[idh]])</f>
        <v>anPlayerRotateR_ID = $37</v>
      </c>
      <c r="L57" s="1" t="str">
        <f>CONCATENATE("animNames.append(""",Table1[[#This Row],[name]],""")")</f>
        <v>animNames.append("PlayerRotateR")</v>
      </c>
      <c r="M57" s="8" t="str">
        <f>CONCATENATE("reqSprBanks.append(0x",Table1[[#This Row],[imgbank]],")")</f>
        <v>reqSprBanks.append(0x04,0A)</v>
      </c>
    </row>
    <row r="58" spans="1:13" x14ac:dyDescent="0.25">
      <c r="A58" s="1">
        <v>56</v>
      </c>
      <c r="B58" s="1" t="s">
        <v>1151</v>
      </c>
      <c r="C58" s="2" t="s">
        <v>28</v>
      </c>
      <c r="D58" s="1" t="s">
        <v>784</v>
      </c>
      <c r="E58" s="3" t="s">
        <v>500</v>
      </c>
      <c r="F58" s="1" t="s">
        <v>415</v>
      </c>
      <c r="G58" s="2" t="s">
        <v>1099</v>
      </c>
      <c r="H58" s="1"/>
      <c r="I58" s="1" t="str">
        <f>Table1[[#This Row],[idh]]</f>
        <v>38</v>
      </c>
      <c r="J58" s="1" t="str">
        <f>CONCATENATE("an",Table1[[#This Row],[name]],"_ID")</f>
        <v>anSpringitBodyR_ID</v>
      </c>
      <c r="K58" s="1" t="str">
        <f>CONCATENATE(Table1[[#This Row],[asm]]," = $",Table1[[#This Row],[idh]])</f>
        <v>anSpringitBodyR_ID = $38</v>
      </c>
      <c r="L58" s="1" t="str">
        <f>CONCATENATE("animNames.append(""",Table1[[#This Row],[name]],""")")</f>
        <v>animNames.append("SpringitBodyR")</v>
      </c>
      <c r="M58" s="8" t="str">
        <f>CONCATENATE("reqSprBanks.append(0x",Table1[[#This Row],[imgbank]],")")</f>
        <v>reqSprBanks.append(0x04)</v>
      </c>
    </row>
    <row r="59" spans="1:13" x14ac:dyDescent="0.25">
      <c r="A59" s="1">
        <v>57</v>
      </c>
      <c r="B59" s="1" t="s">
        <v>1152</v>
      </c>
      <c r="C59" s="2" t="s">
        <v>29</v>
      </c>
      <c r="D59" s="1" t="s">
        <v>785</v>
      </c>
      <c r="E59" s="3" t="s">
        <v>501</v>
      </c>
      <c r="F59" s="1" t="s">
        <v>416</v>
      </c>
      <c r="G59" s="2" t="s">
        <v>1099</v>
      </c>
      <c r="H59" s="1"/>
      <c r="I59" s="1" t="str">
        <f>Table1[[#This Row],[idh]]</f>
        <v>39</v>
      </c>
      <c r="J59" s="1" t="str">
        <f>CONCATENATE("an",Table1[[#This Row],[name]],"_ID")</f>
        <v>anSpringitR_ID</v>
      </c>
      <c r="K59" s="1" t="str">
        <f>CONCATENATE(Table1[[#This Row],[asm]]," = $",Table1[[#This Row],[idh]])</f>
        <v>anSpringitR_ID = $39</v>
      </c>
      <c r="L59" s="1" t="str">
        <f>CONCATENATE("animNames.append(""",Table1[[#This Row],[name]],""")")</f>
        <v>animNames.append("SpringitR")</v>
      </c>
      <c r="M59" s="8" t="str">
        <f>CONCATENATE("reqSprBanks.append(0x",Table1[[#This Row],[imgbank]],")")</f>
        <v>reqSprBanks.append(0x04)</v>
      </c>
    </row>
    <row r="60" spans="1:13" x14ac:dyDescent="0.25">
      <c r="A60" s="1">
        <v>58</v>
      </c>
      <c r="B60" s="1" t="s">
        <v>1153</v>
      </c>
      <c r="C60" s="2" t="s">
        <v>30</v>
      </c>
      <c r="D60" s="1" t="s">
        <v>786</v>
      </c>
      <c r="E60" s="3" t="s">
        <v>503</v>
      </c>
      <c r="F60" s="1" t="s">
        <v>415</v>
      </c>
      <c r="G60" s="2" t="s">
        <v>1099</v>
      </c>
      <c r="H60" s="1"/>
      <c r="I60" s="1" t="str">
        <f>Table1[[#This Row],[idh]]</f>
        <v>3A</v>
      </c>
      <c r="J60" s="1" t="str">
        <f>CONCATENATE("an",Table1[[#This Row],[name]],"_ID")</f>
        <v>anSpringitBodyL_ID</v>
      </c>
      <c r="K60" s="1" t="str">
        <f>CONCATENATE(Table1[[#This Row],[asm]]," = $",Table1[[#This Row],[idh]])</f>
        <v>anSpringitBodyL_ID = $3A</v>
      </c>
      <c r="L60" s="1" t="str">
        <f>CONCATENATE("animNames.append(""",Table1[[#This Row],[name]],""")")</f>
        <v>animNames.append("SpringitBodyL")</v>
      </c>
      <c r="M60" s="8" t="str">
        <f>CONCATENATE("reqSprBanks.append(0x",Table1[[#This Row],[imgbank]],")")</f>
        <v>reqSprBanks.append(0x04)</v>
      </c>
    </row>
    <row r="61" spans="1:13" x14ac:dyDescent="0.25">
      <c r="A61" s="1">
        <v>59</v>
      </c>
      <c r="B61" s="1" t="s">
        <v>1154</v>
      </c>
      <c r="C61" s="2" t="s">
        <v>31</v>
      </c>
      <c r="D61" s="1" t="s">
        <v>787</v>
      </c>
      <c r="E61" s="3" t="s">
        <v>504</v>
      </c>
      <c r="F61" s="1" t="s">
        <v>416</v>
      </c>
      <c r="G61" s="2" t="s">
        <v>1099</v>
      </c>
      <c r="H61" s="1"/>
      <c r="I61" s="1" t="str">
        <f>Table1[[#This Row],[idh]]</f>
        <v>3B</v>
      </c>
      <c r="J61" s="1" t="str">
        <f>CONCATENATE("an",Table1[[#This Row],[name]],"_ID")</f>
        <v>anSpringitL_ID</v>
      </c>
      <c r="K61" s="1" t="str">
        <f>CONCATENATE(Table1[[#This Row],[asm]]," = $",Table1[[#This Row],[idh]])</f>
        <v>anSpringitL_ID = $3B</v>
      </c>
      <c r="L61" s="1" t="str">
        <f>CONCATENATE("animNames.append(""",Table1[[#This Row],[name]],""")")</f>
        <v>animNames.append("SpringitL")</v>
      </c>
      <c r="M61" s="8" t="str">
        <f>CONCATENATE("reqSprBanks.append(0x",Table1[[#This Row],[imgbank]],")")</f>
        <v>reqSprBanks.append(0x04)</v>
      </c>
    </row>
    <row r="62" spans="1:13" x14ac:dyDescent="0.25">
      <c r="A62" s="1">
        <v>60</v>
      </c>
      <c r="B62" s="1" t="s">
        <v>1155</v>
      </c>
      <c r="C62" s="2" t="s">
        <v>32</v>
      </c>
      <c r="D62" s="1" t="s">
        <v>788</v>
      </c>
      <c r="E62" s="3" t="s">
        <v>505</v>
      </c>
      <c r="F62" s="1" t="s">
        <v>417</v>
      </c>
      <c r="G62" s="2" t="s">
        <v>1099</v>
      </c>
      <c r="H62" s="1"/>
      <c r="I62" s="1" t="str">
        <f>Table1[[#This Row],[idh]]</f>
        <v>3C</v>
      </c>
      <c r="J62" s="1" t="str">
        <f>CONCATENATE("an",Table1[[#This Row],[name]],"_ID")</f>
        <v>anZenChanL_ID</v>
      </c>
      <c r="K62" s="1" t="str">
        <f>CONCATENATE(Table1[[#This Row],[asm]]," = $",Table1[[#This Row],[idh]])</f>
        <v>anZenChanL_ID = $3C</v>
      </c>
      <c r="L62" s="1" t="str">
        <f>CONCATENATE("animNames.append(""",Table1[[#This Row],[name]],""")")</f>
        <v>animNames.append("ZenChanL")</v>
      </c>
      <c r="M62" s="8" t="str">
        <f>CONCATENATE("reqSprBanks.append(0x",Table1[[#This Row],[imgbank]],")")</f>
        <v>reqSprBanks.append(0x04)</v>
      </c>
    </row>
    <row r="63" spans="1:13" x14ac:dyDescent="0.25">
      <c r="A63" s="1">
        <v>61</v>
      </c>
      <c r="B63" s="1" t="s">
        <v>1156</v>
      </c>
      <c r="C63" s="2" t="s">
        <v>33</v>
      </c>
      <c r="D63" s="1" t="s">
        <v>789</v>
      </c>
      <c r="E63" s="3" t="s">
        <v>506</v>
      </c>
      <c r="F63" s="1" t="s">
        <v>417</v>
      </c>
      <c r="G63" s="2" t="s">
        <v>1099</v>
      </c>
      <c r="H63" s="1"/>
      <c r="I63" s="1" t="str">
        <f>Table1[[#This Row],[idh]]</f>
        <v>3D</v>
      </c>
      <c r="J63" s="1" t="str">
        <f>CONCATENATE("an",Table1[[#This Row],[name]],"_ID")</f>
        <v>anZenChanR_ID</v>
      </c>
      <c r="K63" s="1" t="str">
        <f>CONCATENATE(Table1[[#This Row],[asm]]," = $",Table1[[#This Row],[idh]])</f>
        <v>anZenChanR_ID = $3D</v>
      </c>
      <c r="L63" s="1" t="str">
        <f>CONCATENATE("animNames.append(""",Table1[[#This Row],[name]],""")")</f>
        <v>animNames.append("ZenChanR")</v>
      </c>
      <c r="M63" s="8" t="str">
        <f>CONCATENATE("reqSprBanks.append(0x",Table1[[#This Row],[imgbank]],")")</f>
        <v>reqSprBanks.append(0x04)</v>
      </c>
    </row>
    <row r="64" spans="1:13" x14ac:dyDescent="0.25">
      <c r="A64" s="1">
        <v>62</v>
      </c>
      <c r="B64" s="1" t="s">
        <v>1157</v>
      </c>
      <c r="C64" s="2" t="s">
        <v>34</v>
      </c>
      <c r="D64" s="1" t="s">
        <v>790</v>
      </c>
      <c r="E64" s="3" t="s">
        <v>507</v>
      </c>
      <c r="F64" s="1" t="s">
        <v>418</v>
      </c>
      <c r="G64" s="2" t="s">
        <v>1099</v>
      </c>
      <c r="H64" s="1"/>
      <c r="I64" s="1" t="str">
        <f>Table1[[#This Row],[idh]]</f>
        <v>3E</v>
      </c>
      <c r="J64" s="1" t="str">
        <f>CONCATENATE("an",Table1[[#This Row],[name]],"_ID")</f>
        <v>anMonstaL_ID</v>
      </c>
      <c r="K64" s="1" t="str">
        <f>CONCATENATE(Table1[[#This Row],[asm]]," = $",Table1[[#This Row],[idh]])</f>
        <v>anMonstaL_ID = $3E</v>
      </c>
      <c r="L64" s="1" t="str">
        <f>CONCATENATE("animNames.append(""",Table1[[#This Row],[name]],""")")</f>
        <v>animNames.append("MonstaL")</v>
      </c>
      <c r="M64" s="8" t="str">
        <f>CONCATENATE("reqSprBanks.append(0x",Table1[[#This Row],[imgbank]],")")</f>
        <v>reqSprBanks.append(0x04)</v>
      </c>
    </row>
    <row r="65" spans="1:13" x14ac:dyDescent="0.25">
      <c r="A65" s="1">
        <v>63</v>
      </c>
      <c r="B65" s="1" t="s">
        <v>1158</v>
      </c>
      <c r="C65" s="2" t="s">
        <v>35</v>
      </c>
      <c r="D65" s="1" t="s">
        <v>791</v>
      </c>
      <c r="E65" s="3" t="s">
        <v>502</v>
      </c>
      <c r="F65" s="1" t="s">
        <v>418</v>
      </c>
      <c r="G65" s="2" t="s">
        <v>1099</v>
      </c>
      <c r="H65" s="1"/>
      <c r="I65" s="1" t="str">
        <f>Table1[[#This Row],[idh]]</f>
        <v>3F</v>
      </c>
      <c r="J65" s="1" t="str">
        <f>CONCATENATE("an",Table1[[#This Row],[name]],"_ID")</f>
        <v>anMonstaR_ID</v>
      </c>
      <c r="K65" s="1" t="str">
        <f>CONCATENATE(Table1[[#This Row],[asm]]," = $",Table1[[#This Row],[idh]])</f>
        <v>anMonstaR_ID = $3F</v>
      </c>
      <c r="L65" s="1" t="str">
        <f>CONCATENATE("animNames.append(""",Table1[[#This Row],[name]],""")")</f>
        <v>animNames.append("MonstaR")</v>
      </c>
      <c r="M65" s="8" t="str">
        <f>CONCATENATE("reqSprBanks.append(0x",Table1[[#This Row],[imgbank]],")")</f>
        <v>reqSprBanks.append(0x04)</v>
      </c>
    </row>
    <row r="66" spans="1:13" x14ac:dyDescent="0.25">
      <c r="A66" s="1">
        <v>64</v>
      </c>
      <c r="B66" s="1" t="s">
        <v>1159</v>
      </c>
      <c r="C66" s="2" t="s">
        <v>307</v>
      </c>
      <c r="D66" s="1" t="s">
        <v>419</v>
      </c>
      <c r="E66" s="3" t="s">
        <v>419</v>
      </c>
      <c r="F66" s="1" t="s">
        <v>419</v>
      </c>
      <c r="G66" s="2" t="s">
        <v>1099</v>
      </c>
      <c r="H66" s="1"/>
      <c r="I66" s="1" t="str">
        <f>Table1[[#This Row],[idh]]</f>
        <v>40</v>
      </c>
      <c r="J66" s="1" t="str">
        <f>CONCATENATE("an",Table1[[#This Row],[name]],"_ID")</f>
        <v>anNeedler_ID</v>
      </c>
      <c r="K66" s="1" t="str">
        <f>CONCATENATE(Table1[[#This Row],[asm]]," = $",Table1[[#This Row],[idh]])</f>
        <v>anNeedler_ID = $40</v>
      </c>
      <c r="L66" s="1" t="str">
        <f>CONCATENATE("animNames.append(""",Table1[[#This Row],[name]],""")")</f>
        <v>animNames.append("Needler")</v>
      </c>
      <c r="M66" s="8" t="str">
        <f>CONCATENATE("reqSprBanks.append(0x",Table1[[#This Row],[imgbank]],")")</f>
        <v>reqSprBanks.append(0x04)</v>
      </c>
    </row>
    <row r="67" spans="1:13" x14ac:dyDescent="0.25">
      <c r="A67" s="1">
        <v>65</v>
      </c>
      <c r="B67" s="1" t="s">
        <v>1160</v>
      </c>
      <c r="C67" s="2" t="s">
        <v>36</v>
      </c>
      <c r="D67" s="1" t="s">
        <v>792</v>
      </c>
      <c r="E67" s="3" t="s">
        <v>508</v>
      </c>
      <c r="F67" s="1" t="s">
        <v>420</v>
      </c>
      <c r="G67" s="2" t="s">
        <v>1099</v>
      </c>
      <c r="H67" s="1"/>
      <c r="I67" s="1" t="str">
        <f>Table1[[#This Row],[idh]]</f>
        <v>41</v>
      </c>
      <c r="J67" s="1" t="str">
        <f>CONCATENATE("an",Table1[[#This Row],[name]],"_ID")</f>
        <v>anSnaggerL_ID</v>
      </c>
      <c r="K67" s="1" t="str">
        <f>CONCATENATE(Table1[[#This Row],[asm]]," = $",Table1[[#This Row],[idh]])</f>
        <v>anSnaggerL_ID = $41</v>
      </c>
      <c r="L67" s="1" t="str">
        <f>CONCATENATE("animNames.append(""",Table1[[#This Row],[name]],""")")</f>
        <v>animNames.append("SnaggerL")</v>
      </c>
      <c r="M67" s="8" t="str">
        <f>CONCATENATE("reqSprBanks.append(0x",Table1[[#This Row],[imgbank]],")")</f>
        <v>reqSprBanks.append(0x04)</v>
      </c>
    </row>
    <row r="68" spans="1:13" x14ac:dyDescent="0.25">
      <c r="A68" s="1">
        <v>66</v>
      </c>
      <c r="B68" s="1" t="s">
        <v>1161</v>
      </c>
      <c r="C68" s="2" t="s">
        <v>308</v>
      </c>
      <c r="D68" s="1" t="s">
        <v>793</v>
      </c>
      <c r="E68" s="3" t="s">
        <v>511</v>
      </c>
      <c r="F68" s="1" t="s">
        <v>420</v>
      </c>
      <c r="G68" s="2" t="s">
        <v>1099</v>
      </c>
      <c r="H68" s="1"/>
      <c r="I68" s="1" t="str">
        <f>Table1[[#This Row],[idh]]</f>
        <v>42</v>
      </c>
      <c r="J68" s="1" t="str">
        <f>CONCATENATE("an",Table1[[#This Row],[name]],"_ID")</f>
        <v>anSnaggerR_ID</v>
      </c>
      <c r="K68" s="1" t="str">
        <f>CONCATENATE(Table1[[#This Row],[asm]]," = $",Table1[[#This Row],[idh]])</f>
        <v>anSnaggerR_ID = $42</v>
      </c>
      <c r="L68" s="1" t="str">
        <f>CONCATENATE("animNames.append(""",Table1[[#This Row],[name]],""")")</f>
        <v>animNames.append("SnaggerR")</v>
      </c>
      <c r="M68" s="8" t="str">
        <f>CONCATENATE("reqSprBanks.append(0x",Table1[[#This Row],[imgbank]],")")</f>
        <v>reqSprBanks.append(0x04)</v>
      </c>
    </row>
    <row r="69" spans="1:13" x14ac:dyDescent="0.25">
      <c r="A69" s="1">
        <v>67</v>
      </c>
      <c r="B69" s="1" t="s">
        <v>1162</v>
      </c>
      <c r="C69" s="2" t="s">
        <v>37</v>
      </c>
      <c r="D69" s="1" t="s">
        <v>794</v>
      </c>
      <c r="E69" s="3" t="s">
        <v>513</v>
      </c>
      <c r="F69" s="1" t="s">
        <v>421</v>
      </c>
      <c r="G69" s="2" t="s">
        <v>1099</v>
      </c>
      <c r="H69" s="1"/>
      <c r="I69" s="1" t="str">
        <f>Table1[[#This Row],[idh]]</f>
        <v>43</v>
      </c>
      <c r="J69" s="1" t="str">
        <f>CONCATENATE("an",Table1[[#This Row],[name]],"_ID")</f>
        <v>anBanebouL_ID</v>
      </c>
      <c r="K69" s="1" t="str">
        <f>CONCATENATE(Table1[[#This Row],[asm]]," = $",Table1[[#This Row],[idh]])</f>
        <v>anBanebouL_ID = $43</v>
      </c>
      <c r="L69" s="1" t="str">
        <f>CONCATENATE("animNames.append(""",Table1[[#This Row],[name]],""")")</f>
        <v>animNames.append("BanebouL")</v>
      </c>
      <c r="M69" s="8" t="str">
        <f>CONCATENATE("reqSprBanks.append(0x",Table1[[#This Row],[imgbank]],")")</f>
        <v>reqSprBanks.append(0x04)</v>
      </c>
    </row>
    <row r="70" spans="1:13" x14ac:dyDescent="0.25">
      <c r="A70" s="1">
        <v>68</v>
      </c>
      <c r="B70" s="1" t="s">
        <v>1163</v>
      </c>
      <c r="C70" s="2" t="s">
        <v>309</v>
      </c>
      <c r="D70" s="1" t="s">
        <v>795</v>
      </c>
      <c r="E70" s="3" t="s">
        <v>514</v>
      </c>
      <c r="F70" s="1" t="s">
        <v>421</v>
      </c>
      <c r="G70" s="2" t="s">
        <v>1099</v>
      </c>
      <c r="H70" s="1"/>
      <c r="I70" s="1" t="str">
        <f>Table1[[#This Row],[idh]]</f>
        <v>44</v>
      </c>
      <c r="J70" s="1" t="str">
        <f>CONCATENATE("an",Table1[[#This Row],[name]],"_ID")</f>
        <v>anBanebouR_ID</v>
      </c>
      <c r="K70" s="1" t="str">
        <f>CONCATENATE(Table1[[#This Row],[asm]]," = $",Table1[[#This Row],[idh]])</f>
        <v>anBanebouR_ID = $44</v>
      </c>
      <c r="L70" s="1" t="str">
        <f>CONCATENATE("animNames.append(""",Table1[[#This Row],[name]],""")")</f>
        <v>animNames.append("BanebouR")</v>
      </c>
      <c r="M70" s="8" t="str">
        <f>CONCATENATE("reqSprBanks.append(0x",Table1[[#This Row],[imgbank]],")")</f>
        <v>reqSprBanks.append(0x04)</v>
      </c>
    </row>
    <row r="71" spans="1:13" x14ac:dyDescent="0.25">
      <c r="A71" s="1">
        <v>69</v>
      </c>
      <c r="B71" s="1" t="s">
        <v>1164</v>
      </c>
      <c r="C71" s="2" t="s">
        <v>38</v>
      </c>
      <c r="D71" s="1" t="s">
        <v>796</v>
      </c>
      <c r="E71" s="3" t="s">
        <v>509</v>
      </c>
      <c r="F71" s="1" t="s">
        <v>422</v>
      </c>
      <c r="G71" s="2" t="s">
        <v>1099</v>
      </c>
      <c r="H71" s="1"/>
      <c r="I71" s="1" t="str">
        <f>Table1[[#This Row],[idh]]</f>
        <v>45</v>
      </c>
      <c r="J71" s="1" t="str">
        <f>CONCATENATE("an",Table1[[#This Row],[name]],"_ID")</f>
        <v>anBlobbyL_ID</v>
      </c>
      <c r="K71" s="1" t="str">
        <f>CONCATENATE(Table1[[#This Row],[asm]]," = $",Table1[[#This Row],[idh]])</f>
        <v>anBlobbyL_ID = $45</v>
      </c>
      <c r="L71" s="1" t="str">
        <f>CONCATENATE("animNames.append(""",Table1[[#This Row],[name]],""")")</f>
        <v>animNames.append("BlobbyL")</v>
      </c>
      <c r="M71" s="8" t="str">
        <f>CONCATENATE("reqSprBanks.append(0x",Table1[[#This Row],[imgbank]],")")</f>
        <v>reqSprBanks.append(0x04)</v>
      </c>
    </row>
    <row r="72" spans="1:13" x14ac:dyDescent="0.25">
      <c r="A72" s="1">
        <v>70</v>
      </c>
      <c r="B72" s="1" t="s">
        <v>1165</v>
      </c>
      <c r="C72" s="2" t="s">
        <v>310</v>
      </c>
      <c r="D72" s="1" t="s">
        <v>797</v>
      </c>
      <c r="E72" s="3" t="s">
        <v>512</v>
      </c>
      <c r="F72" s="1" t="s">
        <v>422</v>
      </c>
      <c r="G72" s="2" t="s">
        <v>1099</v>
      </c>
      <c r="H72" s="1"/>
      <c r="I72" s="1" t="str">
        <f>Table1[[#This Row],[idh]]</f>
        <v>46</v>
      </c>
      <c r="J72" s="1" t="str">
        <f>CONCATENATE("an",Table1[[#This Row],[name]],"_ID")</f>
        <v>anBlobbyR_ID</v>
      </c>
      <c r="K72" s="1" t="str">
        <f>CONCATENATE(Table1[[#This Row],[asm]]," = $",Table1[[#This Row],[idh]])</f>
        <v>anBlobbyR_ID = $46</v>
      </c>
      <c r="L72" s="1" t="str">
        <f>CONCATENATE("animNames.append(""",Table1[[#This Row],[name]],""")")</f>
        <v>animNames.append("BlobbyR")</v>
      </c>
      <c r="M72" s="8" t="str">
        <f>CONCATENATE("reqSprBanks.append(0x",Table1[[#This Row],[imgbank]],")")</f>
        <v>reqSprBanks.append(0x04)</v>
      </c>
    </row>
    <row r="73" spans="1:13" x14ac:dyDescent="0.25">
      <c r="A73" s="1">
        <v>71</v>
      </c>
      <c r="B73" s="1" t="s">
        <v>1166</v>
      </c>
      <c r="C73" s="2" t="s">
        <v>39</v>
      </c>
      <c r="D73" s="1" t="s">
        <v>423</v>
      </c>
      <c r="E73" s="3" t="s">
        <v>423</v>
      </c>
      <c r="F73" s="1" t="s">
        <v>423</v>
      </c>
      <c r="G73" s="2" t="s">
        <v>1099</v>
      </c>
      <c r="H73" s="1"/>
      <c r="I73" s="1" t="str">
        <f>Table1[[#This Row],[idh]]</f>
        <v>47</v>
      </c>
      <c r="J73" s="1" t="str">
        <f>CONCATENATE("an",Table1[[#This Row],[name]],"_ID")</f>
        <v>anPulpul_ID</v>
      </c>
      <c r="K73" s="1" t="str">
        <f>CONCATENATE(Table1[[#This Row],[asm]]," = $",Table1[[#This Row],[idh]])</f>
        <v>anPulpul_ID = $47</v>
      </c>
      <c r="L73" s="1" t="str">
        <f>CONCATENATE("animNames.append(""",Table1[[#This Row],[name]],""")")</f>
        <v>animNames.append("Pulpul")</v>
      </c>
      <c r="M73" s="8" t="str">
        <f>CONCATENATE("reqSprBanks.append(0x",Table1[[#This Row],[imgbank]],")")</f>
        <v>reqSprBanks.append(0x04)</v>
      </c>
    </row>
    <row r="74" spans="1:13" x14ac:dyDescent="0.25">
      <c r="A74" s="1">
        <v>72</v>
      </c>
      <c r="B74" s="1" t="s">
        <v>1167</v>
      </c>
      <c r="C74" s="2" t="s">
        <v>311</v>
      </c>
      <c r="D74" s="1" t="s">
        <v>424</v>
      </c>
      <c r="E74" s="3" t="s">
        <v>424</v>
      </c>
      <c r="F74" s="1" t="s">
        <v>424</v>
      </c>
      <c r="G74" s="2" t="s">
        <v>1099</v>
      </c>
      <c r="H74" s="1"/>
      <c r="I74" s="1" t="str">
        <f>Table1[[#This Row],[idh]]</f>
        <v>48</v>
      </c>
      <c r="J74" s="1" t="str">
        <f>CONCATENATE("an",Table1[[#This Row],[name]],"_ID")</f>
        <v>anInvader_ID</v>
      </c>
      <c r="K74" s="1" t="str">
        <f>CONCATENATE(Table1[[#This Row],[asm]]," = $",Table1[[#This Row],[idh]])</f>
        <v>anInvader_ID = $48</v>
      </c>
      <c r="L74" s="1" t="str">
        <f>CONCATENATE("animNames.append(""",Table1[[#This Row],[name]],""")")</f>
        <v>animNames.append("Invader")</v>
      </c>
      <c r="M74" s="8" t="str">
        <f>CONCATENATE("reqSprBanks.append(0x",Table1[[#This Row],[imgbank]],")")</f>
        <v>reqSprBanks.append(0x04)</v>
      </c>
    </row>
    <row r="75" spans="1:13" x14ac:dyDescent="0.25">
      <c r="A75" s="1">
        <v>73</v>
      </c>
      <c r="B75" s="1" t="s">
        <v>1168</v>
      </c>
      <c r="C75" s="2" t="s">
        <v>312</v>
      </c>
      <c r="D75" s="1" t="s">
        <v>798</v>
      </c>
      <c r="E75" s="3" t="s">
        <v>510</v>
      </c>
      <c r="F75" s="1" t="s">
        <v>425</v>
      </c>
      <c r="G75" s="2" t="s">
        <v>1099</v>
      </c>
      <c r="H75" s="1"/>
      <c r="I75" s="1" t="str">
        <f>Table1[[#This Row],[idh]]</f>
        <v>49</v>
      </c>
      <c r="J75" s="1" t="str">
        <f>CONCATENATE("an",Table1[[#This Row],[name]],"_ID")</f>
        <v>anHeitaiKunL_ID</v>
      </c>
      <c r="K75" s="1" t="str">
        <f>CONCATENATE(Table1[[#This Row],[asm]]," = $",Table1[[#This Row],[idh]])</f>
        <v>anHeitaiKunL_ID = $49</v>
      </c>
      <c r="L75" s="1" t="str">
        <f>CONCATENATE("animNames.append(""",Table1[[#This Row],[name]],""")")</f>
        <v>animNames.append("HeitaiKunL")</v>
      </c>
      <c r="M75" s="8" t="str">
        <f>CONCATENATE("reqSprBanks.append(0x",Table1[[#This Row],[imgbank]],")")</f>
        <v>reqSprBanks.append(0x04)</v>
      </c>
    </row>
    <row r="76" spans="1:13" x14ac:dyDescent="0.25">
      <c r="A76" s="1">
        <v>74</v>
      </c>
      <c r="B76" s="1" t="s">
        <v>1169</v>
      </c>
      <c r="C76" s="2" t="s">
        <v>40</v>
      </c>
      <c r="D76" s="1" t="s">
        <v>799</v>
      </c>
      <c r="E76" s="3" t="s">
        <v>517</v>
      </c>
      <c r="F76" s="1" t="s">
        <v>425</v>
      </c>
      <c r="G76" s="2" t="s">
        <v>1099</v>
      </c>
      <c r="H76" s="1"/>
      <c r="I76" s="1" t="str">
        <f>Table1[[#This Row],[idh]]</f>
        <v>4A</v>
      </c>
      <c r="J76" s="1" t="str">
        <f>CONCATENATE("an",Table1[[#This Row],[name]],"_ID")</f>
        <v>anHeitaiKunR_ID</v>
      </c>
      <c r="K76" s="1" t="str">
        <f>CONCATENATE(Table1[[#This Row],[asm]]," = $",Table1[[#This Row],[idh]])</f>
        <v>anHeitaiKunR_ID = $4A</v>
      </c>
      <c r="L76" s="1" t="str">
        <f>CONCATENATE("animNames.append(""",Table1[[#This Row],[name]],""")")</f>
        <v>animNames.append("HeitaiKunR")</v>
      </c>
      <c r="M76" s="8" t="str">
        <f>CONCATENATE("reqSprBanks.append(0x",Table1[[#This Row],[imgbank]],")")</f>
        <v>reqSprBanks.append(0x04)</v>
      </c>
    </row>
    <row r="77" spans="1:13" x14ac:dyDescent="0.25">
      <c r="A77" s="1">
        <v>75</v>
      </c>
      <c r="B77" s="1" t="s">
        <v>1170</v>
      </c>
      <c r="C77" s="2" t="s">
        <v>41</v>
      </c>
      <c r="D77" s="1" t="s">
        <v>800</v>
      </c>
      <c r="E77" s="3" t="s">
        <v>515</v>
      </c>
      <c r="F77" s="1" t="s">
        <v>426</v>
      </c>
      <c r="G77" s="2" t="s">
        <v>1099</v>
      </c>
      <c r="H77" s="1"/>
      <c r="I77" s="1" t="str">
        <f>Table1[[#This Row],[idh]]</f>
        <v>4B</v>
      </c>
      <c r="J77" s="1" t="str">
        <f>CONCATENATE("an",Table1[[#This Row],[name]],"_ID")</f>
        <v>anCarryHeliL_ID</v>
      </c>
      <c r="K77" s="1" t="str">
        <f>CONCATENATE(Table1[[#This Row],[asm]]," = $",Table1[[#This Row],[idh]])</f>
        <v>anCarryHeliL_ID = $4B</v>
      </c>
      <c r="L77" s="1" t="str">
        <f>CONCATENATE("animNames.append(""",Table1[[#This Row],[name]],""")")</f>
        <v>animNames.append("CarryHeliL")</v>
      </c>
      <c r="M77" s="8" t="str">
        <f>CONCATENATE("reqSprBanks.append(0x",Table1[[#This Row],[imgbank]],")")</f>
        <v>reqSprBanks.append(0x04)</v>
      </c>
    </row>
    <row r="78" spans="1:13" x14ac:dyDescent="0.25">
      <c r="A78" s="1">
        <v>76</v>
      </c>
      <c r="B78" s="1" t="s">
        <v>1171</v>
      </c>
      <c r="C78" s="2" t="s">
        <v>42</v>
      </c>
      <c r="D78" s="1" t="s">
        <v>801</v>
      </c>
      <c r="E78" s="3" t="s">
        <v>518</v>
      </c>
      <c r="F78" s="1" t="s">
        <v>426</v>
      </c>
      <c r="G78" s="2" t="s">
        <v>1099</v>
      </c>
      <c r="H78" s="1"/>
      <c r="I78" s="1" t="str">
        <f>Table1[[#This Row],[idh]]</f>
        <v>4C</v>
      </c>
      <c r="J78" s="1" t="str">
        <f>CONCATENATE("an",Table1[[#This Row],[name]],"_ID")</f>
        <v>anCarryHeliR_ID</v>
      </c>
      <c r="K78" s="1" t="str">
        <f>CONCATENATE(Table1[[#This Row],[asm]]," = $",Table1[[#This Row],[idh]])</f>
        <v>anCarryHeliR_ID = $4C</v>
      </c>
      <c r="L78" s="1" t="str">
        <f>CONCATENATE("animNames.append(""",Table1[[#This Row],[name]],""")")</f>
        <v>animNames.append("CarryHeliR")</v>
      </c>
      <c r="M78" s="8" t="str">
        <f>CONCATENATE("reqSprBanks.append(0x",Table1[[#This Row],[imgbank]],")")</f>
        <v>reqSprBanks.append(0x04)</v>
      </c>
    </row>
    <row r="79" spans="1:13" x14ac:dyDescent="0.25">
      <c r="A79" s="1">
        <v>77</v>
      </c>
      <c r="B79" s="1" t="s">
        <v>1172</v>
      </c>
      <c r="C79" s="2" t="s">
        <v>43</v>
      </c>
      <c r="D79" s="1" t="s">
        <v>427</v>
      </c>
      <c r="E79" s="3" t="s">
        <v>427</v>
      </c>
      <c r="F79" s="1" t="s">
        <v>427</v>
      </c>
      <c r="G79" s="2" t="s">
        <v>1099</v>
      </c>
      <c r="H79" s="1"/>
      <c r="I79" s="1" t="str">
        <f>Table1[[#This Row],[idh]]</f>
        <v>4D</v>
      </c>
      <c r="J79" s="1" t="str">
        <f>CONCATENATE("an",Table1[[#This Row],[name]],"_ID")</f>
        <v>anFlarion_ID</v>
      </c>
      <c r="K79" s="1" t="str">
        <f>CONCATENATE(Table1[[#This Row],[asm]]," = $",Table1[[#This Row],[idh]])</f>
        <v>anFlarion_ID = $4D</v>
      </c>
      <c r="L79" s="1" t="str">
        <f>CONCATENATE("animNames.append(""",Table1[[#This Row],[name]],""")")</f>
        <v>animNames.append("Flarion")</v>
      </c>
      <c r="M79" s="8" t="str">
        <f>CONCATENATE("reqSprBanks.append(0x",Table1[[#This Row],[imgbank]],")")</f>
        <v>reqSprBanks.append(0x04)</v>
      </c>
    </row>
    <row r="80" spans="1:13" x14ac:dyDescent="0.25">
      <c r="A80" s="1">
        <v>78</v>
      </c>
      <c r="B80" s="1" t="s">
        <v>1173</v>
      </c>
      <c r="C80" s="2" t="s">
        <v>44</v>
      </c>
      <c r="D80" s="1" t="s">
        <v>802</v>
      </c>
      <c r="E80" s="3" t="s">
        <v>516</v>
      </c>
      <c r="F80" s="1" t="s">
        <v>428</v>
      </c>
      <c r="G80" s="2" t="s">
        <v>1099</v>
      </c>
      <c r="H80" s="1"/>
      <c r="I80" s="1" t="str">
        <f>Table1[[#This Row],[idh]]</f>
        <v>4E</v>
      </c>
      <c r="J80" s="1" t="str">
        <f>CONCATENATE("an",Table1[[#This Row],[name]],"_ID")</f>
        <v>anManticharL_ID</v>
      </c>
      <c r="K80" s="1" t="str">
        <f>CONCATENATE(Table1[[#This Row],[asm]]," = $",Table1[[#This Row],[idh]])</f>
        <v>anManticharL_ID = $4E</v>
      </c>
      <c r="L80" s="1" t="str">
        <f>CONCATENATE("animNames.append(""",Table1[[#This Row],[name]],""")")</f>
        <v>animNames.append("ManticharL")</v>
      </c>
      <c r="M80" s="8" t="str">
        <f>CONCATENATE("reqSprBanks.append(0x",Table1[[#This Row],[imgbank]],")")</f>
        <v>reqSprBanks.append(0x04)</v>
      </c>
    </row>
    <row r="81" spans="1:13" x14ac:dyDescent="0.25">
      <c r="A81" s="1">
        <v>79</v>
      </c>
      <c r="B81" s="1" t="s">
        <v>1174</v>
      </c>
      <c r="C81" s="2" t="s">
        <v>45</v>
      </c>
      <c r="D81" s="1" t="s">
        <v>803</v>
      </c>
      <c r="E81" s="3" t="s">
        <v>519</v>
      </c>
      <c r="F81" s="1" t="s">
        <v>428</v>
      </c>
      <c r="G81" s="2" t="s">
        <v>1099</v>
      </c>
      <c r="H81" s="1"/>
      <c r="I81" s="1" t="str">
        <f>Table1[[#This Row],[idh]]</f>
        <v>4F</v>
      </c>
      <c r="J81" s="1" t="str">
        <f>CONCATENATE("an",Table1[[#This Row],[name]],"_ID")</f>
        <v>anManticharR_ID</v>
      </c>
      <c r="K81" s="1" t="str">
        <f>CONCATENATE(Table1[[#This Row],[asm]]," = $",Table1[[#This Row],[idh]])</f>
        <v>anManticharR_ID = $4F</v>
      </c>
      <c r="L81" s="1" t="str">
        <f>CONCATENATE("animNames.append(""",Table1[[#This Row],[name]],""")")</f>
        <v>animNames.append("ManticharR")</v>
      </c>
      <c r="M81" s="8" t="str">
        <f>CONCATENATE("reqSprBanks.append(0x",Table1[[#This Row],[imgbank]],")")</f>
        <v>reqSprBanks.append(0x04)</v>
      </c>
    </row>
    <row r="82" spans="1:13" x14ac:dyDescent="0.25">
      <c r="A82" s="1">
        <v>80</v>
      </c>
      <c r="B82" s="1" t="s">
        <v>1175</v>
      </c>
      <c r="C82" s="2" t="s">
        <v>313</v>
      </c>
      <c r="D82" s="1" t="s">
        <v>804</v>
      </c>
      <c r="E82" s="3" t="s">
        <v>520</v>
      </c>
      <c r="F82" s="1" t="s">
        <v>429</v>
      </c>
      <c r="G82" s="2" t="s">
        <v>1099</v>
      </c>
      <c r="H82" s="1"/>
      <c r="I82" s="1" t="str">
        <f>Table1[[#This Row],[idh]]</f>
        <v>50</v>
      </c>
      <c r="J82" s="1" t="str">
        <f>CONCATENATE("an",Table1[[#This Row],[name]],"_ID")</f>
        <v>anRoboZenL_ID</v>
      </c>
      <c r="K82" s="1" t="str">
        <f>CONCATENATE(Table1[[#This Row],[asm]]," = $",Table1[[#This Row],[idh]])</f>
        <v>anRoboZenL_ID = $50</v>
      </c>
      <c r="L82" s="1" t="str">
        <f>CONCATENATE("animNames.append(""",Table1[[#This Row],[name]],""")")</f>
        <v>animNames.append("RoboZenL")</v>
      </c>
      <c r="M82" s="8" t="str">
        <f>CONCATENATE("reqSprBanks.append(0x",Table1[[#This Row],[imgbank]],")")</f>
        <v>reqSprBanks.append(0x04)</v>
      </c>
    </row>
    <row r="83" spans="1:13" x14ac:dyDescent="0.25">
      <c r="A83" s="1">
        <v>81</v>
      </c>
      <c r="B83" s="1" t="s">
        <v>1176</v>
      </c>
      <c r="C83" s="2" t="s">
        <v>46</v>
      </c>
      <c r="D83" s="1" t="s">
        <v>805</v>
      </c>
      <c r="E83" s="3" t="s">
        <v>521</v>
      </c>
      <c r="F83" s="1" t="s">
        <v>429</v>
      </c>
      <c r="G83" s="2" t="s">
        <v>1099</v>
      </c>
      <c r="H83" s="1"/>
      <c r="I83" s="1" t="str">
        <f>Table1[[#This Row],[idh]]</f>
        <v>51</v>
      </c>
      <c r="J83" s="1" t="str">
        <f>CONCATENATE("an",Table1[[#This Row],[name]],"_ID")</f>
        <v>anRoboZenR_ID</v>
      </c>
      <c r="K83" s="1" t="str">
        <f>CONCATENATE(Table1[[#This Row],[asm]]," = $",Table1[[#This Row],[idh]])</f>
        <v>anRoboZenR_ID = $51</v>
      </c>
      <c r="L83" s="1" t="str">
        <f>CONCATENATE("animNames.append(""",Table1[[#This Row],[name]],""")")</f>
        <v>animNames.append("RoboZenR")</v>
      </c>
      <c r="M83" s="8" t="str">
        <f>CONCATENATE("reqSprBanks.append(0x",Table1[[#This Row],[imgbank]],")")</f>
        <v>reqSprBanks.append(0x04)</v>
      </c>
    </row>
    <row r="84" spans="1:13" x14ac:dyDescent="0.25">
      <c r="A84" s="1">
        <v>82</v>
      </c>
      <c r="B84" s="1" t="s">
        <v>1177</v>
      </c>
      <c r="C84" s="2" t="s">
        <v>314</v>
      </c>
      <c r="D84" s="4" t="s">
        <v>1528</v>
      </c>
      <c r="E84" s="3" t="s">
        <v>522</v>
      </c>
      <c r="F84" s="1" t="s">
        <v>401</v>
      </c>
      <c r="G84" s="2" t="s">
        <v>1099</v>
      </c>
      <c r="H84" s="1"/>
      <c r="I84" s="1" t="str">
        <f>Table1[[#This Row],[idh]]</f>
        <v>52</v>
      </c>
      <c r="J84" s="1" t="str">
        <f>CONCATENATE("an",Table1[[#This Row],[name]],"_ID")</f>
        <v>anRoboZenHandL_ID</v>
      </c>
      <c r="K84" s="1" t="str">
        <f>CONCATENATE(Table1[[#This Row],[asm]]," = $",Table1[[#This Row],[idh]])</f>
        <v>anRoboZenHandL_ID = $52</v>
      </c>
      <c r="L84" s="1" t="str">
        <f>CONCATENATE("animNames.append(""",Table1[[#This Row],[name]],""")")</f>
        <v>animNames.append("RoboZenHandL")</v>
      </c>
      <c r="M84" s="8" t="str">
        <f>CONCATENATE("reqSprBanks.append(0x",Table1[[#This Row],[imgbank]],")")</f>
        <v>reqSprBanks.append(0x04)</v>
      </c>
    </row>
    <row r="85" spans="1:13" x14ac:dyDescent="0.25">
      <c r="A85" s="1">
        <v>83</v>
      </c>
      <c r="B85" s="1" t="s">
        <v>1178</v>
      </c>
      <c r="C85" s="2" t="s">
        <v>47</v>
      </c>
      <c r="D85" s="4" t="s">
        <v>1529</v>
      </c>
      <c r="E85" s="3" t="s">
        <v>523</v>
      </c>
      <c r="F85" s="1" t="s">
        <v>401</v>
      </c>
      <c r="G85" s="2" t="s">
        <v>1099</v>
      </c>
      <c r="H85" s="1"/>
      <c r="I85" s="1" t="str">
        <f>Table1[[#This Row],[idh]]</f>
        <v>53</v>
      </c>
      <c r="J85" s="1" t="str">
        <f>CONCATENATE("an",Table1[[#This Row],[name]],"_ID")</f>
        <v>anRoboZenHandR_ID</v>
      </c>
      <c r="K85" s="1" t="str">
        <f>CONCATENATE(Table1[[#This Row],[asm]]," = $",Table1[[#This Row],[idh]])</f>
        <v>anRoboZenHandR_ID = $53</v>
      </c>
      <c r="L85" s="1" t="str">
        <f>CONCATENATE("animNames.append(""",Table1[[#This Row],[name]],""")")</f>
        <v>animNames.append("RoboZenHandR")</v>
      </c>
      <c r="M85" s="8" t="str">
        <f>CONCATENATE("reqSprBanks.append(0x",Table1[[#This Row],[imgbank]],")")</f>
        <v>reqSprBanks.append(0x04)</v>
      </c>
    </row>
    <row r="86" spans="1:13" x14ac:dyDescent="0.25">
      <c r="A86" s="1">
        <v>84</v>
      </c>
      <c r="B86" s="1" t="s">
        <v>1179</v>
      </c>
      <c r="C86" s="2" t="s">
        <v>315</v>
      </c>
      <c r="D86" s="1" t="s">
        <v>430</v>
      </c>
      <c r="E86" s="3" t="s">
        <v>430</v>
      </c>
      <c r="F86" s="1" t="s">
        <v>430</v>
      </c>
      <c r="G86" s="2" t="s">
        <v>1099</v>
      </c>
      <c r="H86" s="1"/>
      <c r="I86" s="1" t="str">
        <f>Table1[[#This Row],[idh]]</f>
        <v>54</v>
      </c>
      <c r="J86" s="1" t="str">
        <f>CONCATENATE("an",Table1[[#This Row],[name]],"_ID")</f>
        <v>anKirikabun_ID</v>
      </c>
      <c r="K86" s="1" t="str">
        <f>CONCATENATE(Table1[[#This Row],[asm]]," = $",Table1[[#This Row],[idh]])</f>
        <v>anKirikabun_ID = $54</v>
      </c>
      <c r="L86" s="1" t="str">
        <f>CONCATENATE("animNames.append(""",Table1[[#This Row],[name]],""")")</f>
        <v>animNames.append("Kirikabun")</v>
      </c>
      <c r="M86" s="8" t="str">
        <f>CONCATENATE("reqSprBanks.append(0x",Table1[[#This Row],[imgbank]],")")</f>
        <v>reqSprBanks.append(0x04)</v>
      </c>
    </row>
    <row r="87" spans="1:13" x14ac:dyDescent="0.25">
      <c r="A87" s="1">
        <v>85</v>
      </c>
      <c r="B87" s="1" t="s">
        <v>1180</v>
      </c>
      <c r="C87" s="2" t="s">
        <v>316</v>
      </c>
      <c r="D87" s="1" t="s">
        <v>524</v>
      </c>
      <c r="E87" s="3" t="s">
        <v>524</v>
      </c>
      <c r="F87" s="1" t="s">
        <v>430</v>
      </c>
      <c r="G87" s="2" t="s">
        <v>1099</v>
      </c>
      <c r="H87" s="1"/>
      <c r="I87" s="1" t="str">
        <f>Table1[[#This Row],[idh]]</f>
        <v>55</v>
      </c>
      <c r="J87" s="1" t="str">
        <f>CONCATENATE("an",Table1[[#This Row],[name]],"_ID")</f>
        <v>anFlutterfly_ID</v>
      </c>
      <c r="K87" s="1" t="str">
        <f>CONCATENATE(Table1[[#This Row],[asm]]," = $",Table1[[#This Row],[idh]])</f>
        <v>anFlutterfly_ID = $55</v>
      </c>
      <c r="L87" s="1" t="str">
        <f>CONCATENATE("animNames.append(""",Table1[[#This Row],[name]],""")")</f>
        <v>animNames.append("Flutterfly")</v>
      </c>
      <c r="M87" s="8" t="str">
        <f>CONCATENATE("reqSprBanks.append(0x",Table1[[#This Row],[imgbank]],")")</f>
        <v>reqSprBanks.append(0x04)</v>
      </c>
    </row>
    <row r="88" spans="1:13" x14ac:dyDescent="0.25">
      <c r="A88" s="1">
        <v>86</v>
      </c>
      <c r="B88" s="1" t="s">
        <v>1181</v>
      </c>
      <c r="C88" s="2" t="s">
        <v>317</v>
      </c>
      <c r="D88" s="1" t="str">
        <f>CONCATENATE("UNK",Table1[[#This Row],[idh]])</f>
        <v>UNK56</v>
      </c>
      <c r="E88" s="3" t="s">
        <v>806</v>
      </c>
      <c r="F88" s="1" t="s">
        <v>430</v>
      </c>
      <c r="G88" s="2" t="s">
        <v>1099</v>
      </c>
      <c r="H88" s="1"/>
      <c r="I88" s="1" t="str">
        <f>Table1[[#This Row],[idh]]</f>
        <v>56</v>
      </c>
      <c r="J88" s="1" t="str">
        <f>CONCATENATE("an",Table1[[#This Row],[name]],"_ID")</f>
        <v>anUNK56_ID</v>
      </c>
      <c r="K88" s="1" t="str">
        <f>CONCATENATE(Table1[[#This Row],[asm]]," = $",Table1[[#This Row],[idh]])</f>
        <v>anUNK56_ID = $56</v>
      </c>
      <c r="L88" s="1" t="str">
        <f>CONCATENATE("animNames.append(""",Table1[[#This Row],[name]],""")")</f>
        <v>animNames.append("UNK56")</v>
      </c>
      <c r="M88" s="8" t="str">
        <f>CONCATENATE("reqSprBanks.append(0x",Table1[[#This Row],[imgbank]],")")</f>
        <v>reqSprBanks.append(0x04)</v>
      </c>
    </row>
    <row r="89" spans="1:13" x14ac:dyDescent="0.25">
      <c r="A89" s="1">
        <v>87</v>
      </c>
      <c r="B89" s="1" t="s">
        <v>1182</v>
      </c>
      <c r="C89" s="2" t="s">
        <v>48</v>
      </c>
      <c r="D89" s="1" t="s">
        <v>807</v>
      </c>
      <c r="E89" s="3" t="s">
        <v>588</v>
      </c>
      <c r="F89" s="1" t="s">
        <v>431</v>
      </c>
      <c r="G89" s="2" t="s">
        <v>1099</v>
      </c>
      <c r="H89" s="1"/>
      <c r="I89" s="1" t="str">
        <f>Table1[[#This Row],[idh]]</f>
        <v>57</v>
      </c>
      <c r="J89" s="1" t="str">
        <f>CONCATENATE("an",Table1[[#This Row],[name]],"_ID")</f>
        <v>anTwizzerSpin_ID</v>
      </c>
      <c r="K89" s="1" t="str">
        <f>CONCATENATE(Table1[[#This Row],[asm]]," = $",Table1[[#This Row],[idh]])</f>
        <v>anTwizzerSpin_ID = $57</v>
      </c>
      <c r="L89" s="1" t="str">
        <f>CONCATENATE("animNames.append(""",Table1[[#This Row],[name]],""")")</f>
        <v>animNames.append("TwizzerSpin")</v>
      </c>
      <c r="M89" s="8" t="str">
        <f>CONCATENATE("reqSprBanks.append(0x",Table1[[#This Row],[imgbank]],")")</f>
        <v>reqSprBanks.append(0x04)</v>
      </c>
    </row>
    <row r="90" spans="1:13" x14ac:dyDescent="0.25">
      <c r="A90" s="1">
        <v>88</v>
      </c>
      <c r="B90" s="1" t="s">
        <v>1183</v>
      </c>
      <c r="C90" s="2" t="s">
        <v>318</v>
      </c>
      <c r="D90" s="1" t="s">
        <v>808</v>
      </c>
      <c r="E90" s="3" t="s">
        <v>525</v>
      </c>
      <c r="F90" s="1" t="s">
        <v>432</v>
      </c>
      <c r="G90" s="2" t="s">
        <v>1099</v>
      </c>
      <c r="H90" s="1"/>
      <c r="I90" s="1" t="str">
        <f>Table1[[#This Row],[idh]]</f>
        <v>58</v>
      </c>
      <c r="J90" s="1" t="str">
        <f>CONCATENATE("an",Table1[[#This Row],[name]],"_ID")</f>
        <v>anDrunkL_ID</v>
      </c>
      <c r="K90" s="1" t="str">
        <f>CONCATENATE(Table1[[#This Row],[asm]]," = $",Table1[[#This Row],[idh]])</f>
        <v>anDrunkL_ID = $58</v>
      </c>
      <c r="L90" s="1" t="str">
        <f>CONCATENATE("animNames.append(""",Table1[[#This Row],[name]],""")")</f>
        <v>animNames.append("DrunkL")</v>
      </c>
      <c r="M90" s="8" t="str">
        <f>CONCATENATE("reqSprBanks.append(0x",Table1[[#This Row],[imgbank]],")")</f>
        <v>reqSprBanks.append(0x04)</v>
      </c>
    </row>
    <row r="91" spans="1:13" x14ac:dyDescent="0.25">
      <c r="A91" s="1">
        <v>89</v>
      </c>
      <c r="B91" s="1" t="s">
        <v>1184</v>
      </c>
      <c r="C91" s="2" t="s">
        <v>319</v>
      </c>
      <c r="D91" s="1" t="s">
        <v>809</v>
      </c>
      <c r="E91" s="3" t="s">
        <v>526</v>
      </c>
      <c r="F91" s="1" t="s">
        <v>432</v>
      </c>
      <c r="G91" s="2" t="s">
        <v>1099</v>
      </c>
      <c r="H91" s="1"/>
      <c r="I91" s="1" t="str">
        <f>Table1[[#This Row],[idh]]</f>
        <v>59</v>
      </c>
      <c r="J91" s="1" t="str">
        <f>CONCATENATE("an",Table1[[#This Row],[name]],"_ID")</f>
        <v>anDrunkR_ID</v>
      </c>
      <c r="K91" s="1" t="str">
        <f>CONCATENATE(Table1[[#This Row],[asm]]," = $",Table1[[#This Row],[idh]])</f>
        <v>anDrunkR_ID = $59</v>
      </c>
      <c r="L91" s="1" t="str">
        <f>CONCATENATE("animNames.append(""",Table1[[#This Row],[name]],""")")</f>
        <v>animNames.append("DrunkR")</v>
      </c>
      <c r="M91" s="8" t="str">
        <f>CONCATENATE("reqSprBanks.append(0x",Table1[[#This Row],[imgbank]],")")</f>
        <v>reqSprBanks.append(0x04)</v>
      </c>
    </row>
    <row r="92" spans="1:13" x14ac:dyDescent="0.25">
      <c r="A92" s="1">
        <v>90</v>
      </c>
      <c r="B92" s="1" t="s">
        <v>1185</v>
      </c>
      <c r="C92" s="2" t="s">
        <v>49</v>
      </c>
      <c r="D92" s="1" t="s">
        <v>818</v>
      </c>
      <c r="E92" s="3" t="s">
        <v>527</v>
      </c>
      <c r="F92" s="1" t="s">
        <v>416</v>
      </c>
      <c r="G92" s="2" t="s">
        <v>1099</v>
      </c>
      <c r="H92" s="1"/>
      <c r="I92" s="1" t="str">
        <f>Table1[[#This Row],[idh]]</f>
        <v>5A</v>
      </c>
      <c r="J92" s="1" t="str">
        <f>CONCATENATE("an",Table1[[#This Row],[name]],"_ID")</f>
        <v>anSpringitBlast_ID</v>
      </c>
      <c r="K92" s="1" t="str">
        <f>CONCATENATE(Table1[[#This Row],[asm]]," = $",Table1[[#This Row],[idh]])</f>
        <v>anSpringitBlast_ID = $5A</v>
      </c>
      <c r="L92" s="1" t="str">
        <f>CONCATENATE("animNames.append(""",Table1[[#This Row],[name]],""")")</f>
        <v>animNames.append("SpringitBlast")</v>
      </c>
      <c r="M92" s="8" t="str">
        <f>CONCATENATE("reqSprBanks.append(0x",Table1[[#This Row],[imgbank]],")")</f>
        <v>reqSprBanks.append(0x04)</v>
      </c>
    </row>
    <row r="93" spans="1:13" x14ac:dyDescent="0.25">
      <c r="A93" s="1">
        <v>91</v>
      </c>
      <c r="B93" s="1" t="s">
        <v>1186</v>
      </c>
      <c r="C93" s="2" t="s">
        <v>50</v>
      </c>
      <c r="D93" s="1" t="s">
        <v>810</v>
      </c>
      <c r="E93" s="3" t="s">
        <v>528</v>
      </c>
      <c r="F93" s="1" t="s">
        <v>417</v>
      </c>
      <c r="G93" s="2" t="s">
        <v>1099</v>
      </c>
      <c r="H93" s="1"/>
      <c r="I93" s="1" t="str">
        <f>Table1[[#This Row],[idh]]</f>
        <v>5B</v>
      </c>
      <c r="J93" s="1" t="str">
        <f>CONCATENATE("an",Table1[[#This Row],[name]],"_ID")</f>
        <v>anZenChanTrapped_ID</v>
      </c>
      <c r="K93" s="1" t="str">
        <f>CONCATENATE(Table1[[#This Row],[asm]]," = $",Table1[[#This Row],[idh]])</f>
        <v>anZenChanTrapped_ID = $5B</v>
      </c>
      <c r="L93" s="1" t="str">
        <f>CONCATENATE("animNames.append(""",Table1[[#This Row],[name]],""")")</f>
        <v>animNames.append("ZenChanTrapped")</v>
      </c>
      <c r="M93" s="8" t="str">
        <f>CONCATENATE("reqSprBanks.append(0x",Table1[[#This Row],[imgbank]],")")</f>
        <v>reqSprBanks.append(0x04)</v>
      </c>
    </row>
    <row r="94" spans="1:13" x14ac:dyDescent="0.25">
      <c r="A94" s="1">
        <v>92</v>
      </c>
      <c r="B94" s="1" t="s">
        <v>1187</v>
      </c>
      <c r="C94" s="2" t="s">
        <v>51</v>
      </c>
      <c r="D94" s="1" t="s">
        <v>811</v>
      </c>
      <c r="E94" s="3" t="s">
        <v>529</v>
      </c>
      <c r="F94" s="1" t="s">
        <v>421</v>
      </c>
      <c r="G94" s="2" t="s">
        <v>1099</v>
      </c>
      <c r="H94" s="1"/>
      <c r="I94" s="1" t="str">
        <f>Table1[[#This Row],[idh]]</f>
        <v>5C</v>
      </c>
      <c r="J94" s="1" t="str">
        <f>CONCATENATE("an",Table1[[#This Row],[name]],"_ID")</f>
        <v>anBanebouTrapped_ID</v>
      </c>
      <c r="K94" s="1" t="str">
        <f>CONCATENATE(Table1[[#This Row],[asm]]," = $",Table1[[#This Row],[idh]])</f>
        <v>anBanebouTrapped_ID = $5C</v>
      </c>
      <c r="L94" s="1" t="str">
        <f>CONCATENATE("animNames.append(""",Table1[[#This Row],[name]],""")")</f>
        <v>animNames.append("BanebouTrapped")</v>
      </c>
      <c r="M94" s="8" t="str">
        <f>CONCATENATE("reqSprBanks.append(0x",Table1[[#This Row],[imgbank]],")")</f>
        <v>reqSprBanks.append(0x04)</v>
      </c>
    </row>
    <row r="95" spans="1:13" x14ac:dyDescent="0.25">
      <c r="A95" s="1">
        <v>93</v>
      </c>
      <c r="B95" s="1" t="s">
        <v>1188</v>
      </c>
      <c r="C95" s="2" t="s">
        <v>52</v>
      </c>
      <c r="D95" s="1" t="s">
        <v>812</v>
      </c>
      <c r="E95" s="3" t="s">
        <v>530</v>
      </c>
      <c r="F95" s="1" t="s">
        <v>422</v>
      </c>
      <c r="G95" s="2" t="s">
        <v>1099</v>
      </c>
      <c r="H95" s="1"/>
      <c r="I95" s="1" t="str">
        <f>Table1[[#This Row],[idh]]</f>
        <v>5D</v>
      </c>
      <c r="J95" s="1" t="str">
        <f>CONCATENATE("an",Table1[[#This Row],[name]],"_ID")</f>
        <v>anBlobbyTrapped_ID</v>
      </c>
      <c r="K95" s="1" t="str">
        <f>CONCATENATE(Table1[[#This Row],[asm]]," = $",Table1[[#This Row],[idh]])</f>
        <v>anBlobbyTrapped_ID = $5D</v>
      </c>
      <c r="L95" s="1" t="str">
        <f>CONCATENATE("animNames.append(""",Table1[[#This Row],[name]],""")")</f>
        <v>animNames.append("BlobbyTrapped")</v>
      </c>
      <c r="M95" s="8" t="str">
        <f>CONCATENATE("reqSprBanks.append(0x",Table1[[#This Row],[imgbank]],")")</f>
        <v>reqSprBanks.append(0x04)</v>
      </c>
    </row>
    <row r="96" spans="1:13" x14ac:dyDescent="0.25">
      <c r="A96" s="1">
        <v>94</v>
      </c>
      <c r="B96" s="1" t="s">
        <v>1189</v>
      </c>
      <c r="C96" s="2" t="s">
        <v>53</v>
      </c>
      <c r="D96" s="1" t="s">
        <v>813</v>
      </c>
      <c r="E96" s="3" t="s">
        <v>531</v>
      </c>
      <c r="F96" s="1" t="s">
        <v>423</v>
      </c>
      <c r="G96" s="2" t="s">
        <v>1099</v>
      </c>
      <c r="H96" s="1"/>
      <c r="I96" s="1" t="str">
        <f>Table1[[#This Row],[idh]]</f>
        <v>5E</v>
      </c>
      <c r="J96" s="1" t="str">
        <f>CONCATENATE("an",Table1[[#This Row],[name]],"_ID")</f>
        <v>anPulpulTrapped_ID</v>
      </c>
      <c r="K96" s="1" t="str">
        <f>CONCATENATE(Table1[[#This Row],[asm]]," = $",Table1[[#This Row],[idh]])</f>
        <v>anPulpulTrapped_ID = $5E</v>
      </c>
      <c r="L96" s="1" t="str">
        <f>CONCATENATE("animNames.append(""",Table1[[#This Row],[name]],""")")</f>
        <v>animNames.append("PulpulTrapped")</v>
      </c>
      <c r="M96" s="8" t="str">
        <f>CONCATENATE("reqSprBanks.append(0x",Table1[[#This Row],[imgbank]],")")</f>
        <v>reqSprBanks.append(0x04)</v>
      </c>
    </row>
    <row r="97" spans="1:13" x14ac:dyDescent="0.25">
      <c r="A97" s="1">
        <v>95</v>
      </c>
      <c r="B97" s="1" t="s">
        <v>1190</v>
      </c>
      <c r="C97" s="2" t="s">
        <v>54</v>
      </c>
      <c r="D97" s="1" t="s">
        <v>814</v>
      </c>
      <c r="E97" s="3" t="s">
        <v>532</v>
      </c>
      <c r="F97" s="1" t="s">
        <v>419</v>
      </c>
      <c r="G97" s="2" t="s">
        <v>1099</v>
      </c>
      <c r="H97" s="1"/>
      <c r="I97" s="1" t="str">
        <f>Table1[[#This Row],[idh]]</f>
        <v>5F</v>
      </c>
      <c r="J97" s="1" t="str">
        <f>CONCATENATE("an",Table1[[#This Row],[name]],"_ID")</f>
        <v>anNeedlerTrapped_ID</v>
      </c>
      <c r="K97" s="1" t="str">
        <f>CONCATENATE(Table1[[#This Row],[asm]]," = $",Table1[[#This Row],[idh]])</f>
        <v>anNeedlerTrapped_ID = $5F</v>
      </c>
      <c r="L97" s="1" t="str">
        <f>CONCATENATE("animNames.append(""",Table1[[#This Row],[name]],""")")</f>
        <v>animNames.append("NeedlerTrapped")</v>
      </c>
      <c r="M97" s="8" t="str">
        <f>CONCATENATE("reqSprBanks.append(0x",Table1[[#This Row],[imgbank]],")")</f>
        <v>reqSprBanks.append(0x04)</v>
      </c>
    </row>
    <row r="98" spans="1:13" x14ac:dyDescent="0.25">
      <c r="A98" s="1">
        <v>96</v>
      </c>
      <c r="B98" s="1" t="s">
        <v>1191</v>
      </c>
      <c r="C98" s="2" t="s">
        <v>55</v>
      </c>
      <c r="D98" s="1" t="s">
        <v>815</v>
      </c>
      <c r="E98" s="3" t="s">
        <v>533</v>
      </c>
      <c r="F98" s="1" t="s">
        <v>424</v>
      </c>
      <c r="G98" s="2" t="s">
        <v>1099</v>
      </c>
      <c r="H98" s="1"/>
      <c r="I98" s="1" t="str">
        <f>Table1[[#This Row],[idh]]</f>
        <v>60</v>
      </c>
      <c r="J98" s="1" t="str">
        <f>CONCATENATE("an",Table1[[#This Row],[name]],"_ID")</f>
        <v>anInvaderTrapped_ID</v>
      </c>
      <c r="K98" s="1" t="str">
        <f>CONCATENATE(Table1[[#This Row],[asm]]," = $",Table1[[#This Row],[idh]])</f>
        <v>anInvaderTrapped_ID = $60</v>
      </c>
      <c r="L98" s="1" t="str">
        <f>CONCATENATE("animNames.append(""",Table1[[#This Row],[name]],""")")</f>
        <v>animNames.append("InvaderTrapped")</v>
      </c>
      <c r="M98" s="8" t="str">
        <f>CONCATENATE("reqSprBanks.append(0x",Table1[[#This Row],[imgbank]],")")</f>
        <v>reqSprBanks.append(0x04)</v>
      </c>
    </row>
    <row r="99" spans="1:13" x14ac:dyDescent="0.25">
      <c r="A99" s="1">
        <v>97</v>
      </c>
      <c r="B99" s="1" t="s">
        <v>1192</v>
      </c>
      <c r="C99" s="2" t="s">
        <v>56</v>
      </c>
      <c r="D99" s="1" t="s">
        <v>816</v>
      </c>
      <c r="E99" s="3" t="s">
        <v>534</v>
      </c>
      <c r="F99" s="1" t="s">
        <v>418</v>
      </c>
      <c r="G99" s="2" t="s">
        <v>1099</v>
      </c>
      <c r="H99" s="1"/>
      <c r="I99" s="1" t="str">
        <f>Table1[[#This Row],[idh]]</f>
        <v>61</v>
      </c>
      <c r="J99" s="1" t="str">
        <f>CONCATENATE("an",Table1[[#This Row],[name]],"_ID")</f>
        <v>anMonstaTrapped_ID</v>
      </c>
      <c r="K99" s="1" t="str">
        <f>CONCATENATE(Table1[[#This Row],[asm]]," = $",Table1[[#This Row],[idh]])</f>
        <v>anMonstaTrapped_ID = $61</v>
      </c>
      <c r="L99" s="1" t="str">
        <f>CONCATENATE("animNames.append(""",Table1[[#This Row],[name]],""")")</f>
        <v>animNames.append("MonstaTrapped")</v>
      </c>
      <c r="M99" s="8" t="str">
        <f>CONCATENATE("reqSprBanks.append(0x",Table1[[#This Row],[imgbank]],")")</f>
        <v>reqSprBanks.append(0x04)</v>
      </c>
    </row>
    <row r="100" spans="1:13" x14ac:dyDescent="0.25">
      <c r="A100" s="1">
        <v>98</v>
      </c>
      <c r="B100" s="1" t="s">
        <v>1193</v>
      </c>
      <c r="C100" s="2" t="s">
        <v>320</v>
      </c>
      <c r="D100" s="1" t="s">
        <v>817</v>
      </c>
      <c r="E100" s="3" t="s">
        <v>535</v>
      </c>
      <c r="F100" s="1" t="s">
        <v>425</v>
      </c>
      <c r="G100" s="2" t="s">
        <v>1099</v>
      </c>
      <c r="H100" s="1"/>
      <c r="I100" s="1" t="str">
        <f>Table1[[#This Row],[idh]]</f>
        <v>62</v>
      </c>
      <c r="J100" s="1" t="str">
        <f>CONCATENATE("an",Table1[[#This Row],[name]],"_ID")</f>
        <v>anHeitaiKunTrapped_ID</v>
      </c>
      <c r="K100" s="1" t="str">
        <f>CONCATENATE(Table1[[#This Row],[asm]]," = $",Table1[[#This Row],[idh]])</f>
        <v>anHeitaiKunTrapped_ID = $62</v>
      </c>
      <c r="L100" s="1" t="str">
        <f>CONCATENATE("animNames.append(""",Table1[[#This Row],[name]],""")")</f>
        <v>animNames.append("HeitaiKunTrapped")</v>
      </c>
      <c r="M100" s="8" t="str">
        <f>CONCATENATE("reqSprBanks.append(0x",Table1[[#This Row],[imgbank]],")")</f>
        <v>reqSprBanks.append(0x04)</v>
      </c>
    </row>
    <row r="101" spans="1:13" x14ac:dyDescent="0.25">
      <c r="A101" s="1">
        <v>99</v>
      </c>
      <c r="B101" s="1" t="s">
        <v>1194</v>
      </c>
      <c r="C101" s="2" t="s">
        <v>57</v>
      </c>
      <c r="D101" s="1" t="s">
        <v>819</v>
      </c>
      <c r="E101" s="3" t="s">
        <v>536</v>
      </c>
      <c r="F101" s="1" t="s">
        <v>415</v>
      </c>
      <c r="G101" s="2" t="s">
        <v>1099</v>
      </c>
      <c r="H101" s="1"/>
      <c r="I101" s="1" t="str">
        <f>Table1[[#This Row],[idh]]</f>
        <v>63</v>
      </c>
      <c r="J101" s="1" t="str">
        <f>CONCATENATE("an",Table1[[#This Row],[name]],"_ID")</f>
        <v>anSpringitBodyDieR_ID</v>
      </c>
      <c r="K101" s="1" t="str">
        <f>CONCATENATE(Table1[[#This Row],[asm]]," = $",Table1[[#This Row],[idh]])</f>
        <v>anSpringitBodyDieR_ID = $63</v>
      </c>
      <c r="L101" s="1" t="str">
        <f>CONCATENATE("animNames.append(""",Table1[[#This Row],[name]],""")")</f>
        <v>animNames.append("SpringitBodyDieR")</v>
      </c>
      <c r="M101" s="8" t="str">
        <f>CONCATENATE("reqSprBanks.append(0x",Table1[[#This Row],[imgbank]],")")</f>
        <v>reqSprBanks.append(0x04)</v>
      </c>
    </row>
    <row r="102" spans="1:13" x14ac:dyDescent="0.25">
      <c r="A102" s="1">
        <v>100</v>
      </c>
      <c r="B102" s="1" t="s">
        <v>1195</v>
      </c>
      <c r="C102" s="2" t="s">
        <v>58</v>
      </c>
      <c r="D102" s="1" t="s">
        <v>820</v>
      </c>
      <c r="E102" s="3" t="s">
        <v>537</v>
      </c>
      <c r="F102" s="1" t="s">
        <v>416</v>
      </c>
      <c r="G102" s="2" t="s">
        <v>1099</v>
      </c>
      <c r="H102" s="1"/>
      <c r="I102" s="1" t="str">
        <f>Table1[[#This Row],[idh]]</f>
        <v>64</v>
      </c>
      <c r="J102" s="1" t="str">
        <f>CONCATENATE("an",Table1[[#This Row],[name]],"_ID")</f>
        <v>anSpringitDieR_ID</v>
      </c>
      <c r="K102" s="1" t="str">
        <f>CONCATENATE(Table1[[#This Row],[asm]]," = $",Table1[[#This Row],[idh]])</f>
        <v>anSpringitDieR_ID = $64</v>
      </c>
      <c r="L102" s="1" t="str">
        <f>CONCATENATE("animNames.append(""",Table1[[#This Row],[name]],""")")</f>
        <v>animNames.append("SpringitDieR")</v>
      </c>
      <c r="M102" s="8" t="str">
        <f>CONCATENATE("reqSprBanks.append(0x",Table1[[#This Row],[imgbank]],")")</f>
        <v>reqSprBanks.append(0x04)</v>
      </c>
    </row>
    <row r="103" spans="1:13" x14ac:dyDescent="0.25">
      <c r="A103" s="1">
        <v>101</v>
      </c>
      <c r="B103" s="1" t="s">
        <v>1196</v>
      </c>
      <c r="C103" s="2" t="s">
        <v>59</v>
      </c>
      <c r="D103" s="1" t="s">
        <v>821</v>
      </c>
      <c r="E103" s="3" t="s">
        <v>538</v>
      </c>
      <c r="F103" s="1" t="s">
        <v>415</v>
      </c>
      <c r="G103" s="2" t="s">
        <v>1099</v>
      </c>
      <c r="H103" s="1"/>
      <c r="I103" s="1" t="str">
        <f>Table1[[#This Row],[idh]]</f>
        <v>65</v>
      </c>
      <c r="J103" s="1" t="str">
        <f>CONCATENATE("an",Table1[[#This Row],[name]],"_ID")</f>
        <v>anSpringitBodyDieL_ID</v>
      </c>
      <c r="K103" s="1" t="str">
        <f>CONCATENATE(Table1[[#This Row],[asm]]," = $",Table1[[#This Row],[idh]])</f>
        <v>anSpringitBodyDieL_ID = $65</v>
      </c>
      <c r="L103" s="1" t="str">
        <f>CONCATENATE("animNames.append(""",Table1[[#This Row],[name]],""")")</f>
        <v>animNames.append("SpringitBodyDieL")</v>
      </c>
      <c r="M103" s="8" t="str">
        <f>CONCATENATE("reqSprBanks.append(0x",Table1[[#This Row],[imgbank]],")")</f>
        <v>reqSprBanks.append(0x04)</v>
      </c>
    </row>
    <row r="104" spans="1:13" x14ac:dyDescent="0.25">
      <c r="A104" s="1">
        <v>102</v>
      </c>
      <c r="B104" s="1" t="s">
        <v>1197</v>
      </c>
      <c r="C104" s="2" t="s">
        <v>60</v>
      </c>
      <c r="D104" s="1" t="s">
        <v>822</v>
      </c>
      <c r="E104" s="3" t="s">
        <v>539</v>
      </c>
      <c r="F104" s="1" t="s">
        <v>416</v>
      </c>
      <c r="G104" s="2" t="s">
        <v>1099</v>
      </c>
      <c r="H104" s="1"/>
      <c r="I104" s="1" t="str">
        <f>Table1[[#This Row],[idh]]</f>
        <v>66</v>
      </c>
      <c r="J104" s="1" t="str">
        <f>CONCATENATE("an",Table1[[#This Row],[name]],"_ID")</f>
        <v>anSpringitDieL_ID</v>
      </c>
      <c r="K104" s="1" t="str">
        <f>CONCATENATE(Table1[[#This Row],[asm]]," = $",Table1[[#This Row],[idh]])</f>
        <v>anSpringitDieL_ID = $66</v>
      </c>
      <c r="L104" s="1" t="str">
        <f>CONCATENATE("animNames.append(""",Table1[[#This Row],[name]],""")")</f>
        <v>animNames.append("SpringitDieL")</v>
      </c>
      <c r="M104" s="8" t="str">
        <f>CONCATENATE("reqSprBanks.append(0x",Table1[[#This Row],[imgbank]],")")</f>
        <v>reqSprBanks.append(0x04)</v>
      </c>
    </row>
    <row r="105" spans="1:13" x14ac:dyDescent="0.25">
      <c r="A105" s="1">
        <v>103</v>
      </c>
      <c r="B105" s="1" t="s">
        <v>1198</v>
      </c>
      <c r="C105" s="2" t="s">
        <v>61</v>
      </c>
      <c r="D105" s="1" t="s">
        <v>823</v>
      </c>
      <c r="E105" s="3" t="s">
        <v>541</v>
      </c>
      <c r="F105" s="1" t="s">
        <v>433</v>
      </c>
      <c r="G105" s="2" t="s">
        <v>1099</v>
      </c>
      <c r="H105" s="1"/>
      <c r="I105" s="1" t="str">
        <f>Table1[[#This Row],[idh]]</f>
        <v>67</v>
      </c>
      <c r="J105" s="1" t="str">
        <f>CONCATENATE("an",Table1[[#This Row],[name]],"_ID")</f>
        <v>anDOHProj_ID</v>
      </c>
      <c r="K105" s="1" t="str">
        <f>CONCATENATE(Table1[[#This Row],[asm]]," = $",Table1[[#This Row],[idh]])</f>
        <v>anDOHProj_ID = $67</v>
      </c>
      <c r="L105" s="1" t="str">
        <f>CONCATENATE("animNames.append(""",Table1[[#This Row],[name]],""")")</f>
        <v>animNames.append("DOHProj")</v>
      </c>
      <c r="M105" s="8" t="str">
        <f>CONCATENATE("reqSprBanks.append(0x",Table1[[#This Row],[imgbank]],")")</f>
        <v>reqSprBanks.append(0x04)</v>
      </c>
    </row>
    <row r="106" spans="1:13" x14ac:dyDescent="0.25">
      <c r="A106" s="1">
        <v>104</v>
      </c>
      <c r="B106" s="1" t="s">
        <v>1199</v>
      </c>
      <c r="C106" s="2" t="s">
        <v>62</v>
      </c>
      <c r="D106" s="1" t="s">
        <v>824</v>
      </c>
      <c r="E106" s="3" t="s">
        <v>540</v>
      </c>
      <c r="F106" s="1" t="s">
        <v>433</v>
      </c>
      <c r="G106" s="2" t="s">
        <v>1099</v>
      </c>
      <c r="H106" s="1"/>
      <c r="I106" s="1" t="str">
        <f>Table1[[#This Row],[idh]]</f>
        <v>68</v>
      </c>
      <c r="J106" s="1" t="str">
        <f>CONCATENATE("an",Table1[[#This Row],[name]],"_ID")</f>
        <v>anDOHProjSpin_ID</v>
      </c>
      <c r="K106" s="1" t="str">
        <f>CONCATENATE(Table1[[#This Row],[asm]]," = $",Table1[[#This Row],[idh]])</f>
        <v>anDOHProjSpin_ID = $68</v>
      </c>
      <c r="L106" s="1" t="str">
        <f>CONCATENATE("animNames.append(""",Table1[[#This Row],[name]],""")")</f>
        <v>animNames.append("DOHProjSpin")</v>
      </c>
      <c r="M106" s="8" t="str">
        <f>CONCATENATE("reqSprBanks.append(0x",Table1[[#This Row],[imgbank]],")")</f>
        <v>reqSprBanks.append(0x04)</v>
      </c>
    </row>
    <row r="107" spans="1:13" x14ac:dyDescent="0.25">
      <c r="A107" s="1">
        <v>105</v>
      </c>
      <c r="B107" s="1" t="s">
        <v>1200</v>
      </c>
      <c r="C107" s="2" t="s">
        <v>63</v>
      </c>
      <c r="D107" s="1" t="s">
        <v>825</v>
      </c>
      <c r="E107" s="3" t="s">
        <v>2589</v>
      </c>
      <c r="F107" s="1" t="s">
        <v>417</v>
      </c>
      <c r="G107" s="2" t="s">
        <v>1099</v>
      </c>
      <c r="H107" s="1"/>
      <c r="I107" s="1" t="str">
        <f>Table1[[#This Row],[idh]]</f>
        <v>69</v>
      </c>
      <c r="J107" s="1" t="str">
        <f>CONCATENATE("an",Table1[[#This Row],[name]],"_ID")</f>
        <v>anZenChanTurnL_ID</v>
      </c>
      <c r="K107" s="1" t="str">
        <f>CONCATENATE(Table1[[#This Row],[asm]]," = $",Table1[[#This Row],[idh]])</f>
        <v>anZenChanTurnL_ID = $69</v>
      </c>
      <c r="L107" s="1" t="str">
        <f>CONCATENATE("animNames.append(""",Table1[[#This Row],[name]],""")")</f>
        <v>animNames.append("ZenChanTurnL")</v>
      </c>
      <c r="M107" s="8" t="str">
        <f>CONCATENATE("reqSprBanks.append(0x",Table1[[#This Row],[imgbank]],")")</f>
        <v>reqSprBanks.append(0x04)</v>
      </c>
    </row>
    <row r="108" spans="1:13" x14ac:dyDescent="0.25">
      <c r="A108" s="1">
        <v>106</v>
      </c>
      <c r="B108" s="1" t="s">
        <v>1201</v>
      </c>
      <c r="C108" s="2" t="s">
        <v>64</v>
      </c>
      <c r="D108" s="1" t="s">
        <v>827</v>
      </c>
      <c r="E108" s="3" t="s">
        <v>542</v>
      </c>
      <c r="F108" s="1" t="s">
        <v>434</v>
      </c>
      <c r="G108" s="2" t="s">
        <v>1099</v>
      </c>
      <c r="H108" s="1"/>
      <c r="I108" s="1" t="str">
        <f>Table1[[#This Row],[idh]]</f>
        <v>6A</v>
      </c>
      <c r="J108" s="1" t="str">
        <f>CONCATENATE("an",Table1[[#This Row],[name]],"_ID")</f>
        <v>anDrunkTrapped_ID</v>
      </c>
      <c r="K108" s="1" t="str">
        <f>CONCATENATE(Table1[[#This Row],[asm]]," = $",Table1[[#This Row],[idh]])</f>
        <v>anDrunkTrapped_ID = $6A</v>
      </c>
      <c r="L108" s="1" t="str">
        <f>CONCATENATE("animNames.append(""",Table1[[#This Row],[name]],""")")</f>
        <v>animNames.append("DrunkTrapped")</v>
      </c>
      <c r="M108" s="8" t="str">
        <f>CONCATENATE("reqSprBanks.append(0x",Table1[[#This Row],[imgbank]],")")</f>
        <v>reqSprBanks.append(0x04)</v>
      </c>
    </row>
    <row r="109" spans="1:13" x14ac:dyDescent="0.25">
      <c r="A109" s="1">
        <v>107</v>
      </c>
      <c r="B109" s="1" t="s">
        <v>1202</v>
      </c>
      <c r="C109" s="2" t="s">
        <v>65</v>
      </c>
      <c r="D109" s="1" t="s">
        <v>828</v>
      </c>
      <c r="E109" s="3" t="s">
        <v>543</v>
      </c>
      <c r="F109" s="1" t="s">
        <v>430</v>
      </c>
      <c r="G109" s="2" t="s">
        <v>1099</v>
      </c>
      <c r="H109" s="1"/>
      <c r="I109" s="1" t="str">
        <f>Table1[[#This Row],[idh]]</f>
        <v>6B</v>
      </c>
      <c r="J109" s="1" t="str">
        <f>CONCATENATE("an",Table1[[#This Row],[name]],"_ID")</f>
        <v>anFlutterflyTrapped_ID</v>
      </c>
      <c r="K109" s="1" t="str">
        <f>CONCATENATE(Table1[[#This Row],[asm]]," = $",Table1[[#This Row],[idh]])</f>
        <v>anFlutterflyTrapped_ID = $6B</v>
      </c>
      <c r="L109" s="1" t="str">
        <f>CONCATENATE("animNames.append(""",Table1[[#This Row],[name]],""")")</f>
        <v>animNames.append("FlutterflyTrapped")</v>
      </c>
      <c r="M109" s="8" t="str">
        <f>CONCATENATE("reqSprBanks.append(0x",Table1[[#This Row],[imgbank]],")")</f>
        <v>reqSprBanks.append(0x04)</v>
      </c>
    </row>
    <row r="110" spans="1:13" x14ac:dyDescent="0.25">
      <c r="A110" s="1">
        <v>108</v>
      </c>
      <c r="B110" s="1" t="s">
        <v>1203</v>
      </c>
      <c r="C110" s="2" t="s">
        <v>66</v>
      </c>
      <c r="D110" s="1" t="s">
        <v>829</v>
      </c>
      <c r="E110" s="3" t="s">
        <v>2590</v>
      </c>
      <c r="F110" s="1" t="s">
        <v>433</v>
      </c>
      <c r="G110" s="2" t="s">
        <v>1099</v>
      </c>
      <c r="H110" s="1"/>
      <c r="I110" s="1" t="str">
        <f>Table1[[#This Row],[idh]]</f>
        <v>6C</v>
      </c>
      <c r="J110" s="1" t="str">
        <f>CONCATENATE("an",Table1[[#This Row],[name]],"_ID")</f>
        <v>anDOHTrapped_ID</v>
      </c>
      <c r="K110" s="1" t="str">
        <f>CONCATENATE(Table1[[#This Row],[asm]]," = $",Table1[[#This Row],[idh]])</f>
        <v>anDOHTrapped_ID = $6C</v>
      </c>
      <c r="L110" s="1" t="str">
        <f>CONCATENATE("animNames.append(""",Table1[[#This Row],[name]],""")")</f>
        <v>animNames.append("DOHTrapped")</v>
      </c>
      <c r="M110" s="8" t="str">
        <f>CONCATENATE("reqSprBanks.append(0x",Table1[[#This Row],[imgbank]],")")</f>
        <v>reqSprBanks.append(0x04)</v>
      </c>
    </row>
    <row r="111" spans="1:13" x14ac:dyDescent="0.25">
      <c r="A111" s="1">
        <v>109</v>
      </c>
      <c r="B111" s="1" t="s">
        <v>1204</v>
      </c>
      <c r="C111" s="2" t="s">
        <v>321</v>
      </c>
      <c r="D111" s="1" t="s">
        <v>826</v>
      </c>
      <c r="E111" s="3" t="s">
        <v>2591</v>
      </c>
      <c r="F111" s="1" t="s">
        <v>417</v>
      </c>
      <c r="G111" s="2" t="s">
        <v>1099</v>
      </c>
      <c r="H111" s="1"/>
      <c r="I111" s="1" t="str">
        <f>Table1[[#This Row],[idh]]</f>
        <v>6D</v>
      </c>
      <c r="J111" s="1" t="str">
        <f>CONCATENATE("an",Table1[[#This Row],[name]],"_ID")</f>
        <v>anZenChanTurnR_ID</v>
      </c>
      <c r="K111" s="1" t="str">
        <f>CONCATENATE(Table1[[#This Row],[asm]]," = $",Table1[[#This Row],[idh]])</f>
        <v>anZenChanTurnR_ID = $6D</v>
      </c>
      <c r="L111" s="1" t="str">
        <f>CONCATENATE("animNames.append(""",Table1[[#This Row],[name]],""")")</f>
        <v>animNames.append("ZenChanTurnR")</v>
      </c>
      <c r="M111" s="8" t="str">
        <f>CONCATENATE("reqSprBanks.append(0x",Table1[[#This Row],[imgbank]],")")</f>
        <v>reqSprBanks.append(0x04)</v>
      </c>
    </row>
    <row r="112" spans="1:13" x14ac:dyDescent="0.25">
      <c r="A112" s="1">
        <v>110</v>
      </c>
      <c r="B112" s="1" t="s">
        <v>1205</v>
      </c>
      <c r="C112" s="2" t="s">
        <v>322</v>
      </c>
      <c r="D112" s="1" t="s">
        <v>830</v>
      </c>
      <c r="E112" s="3" t="s">
        <v>544</v>
      </c>
      <c r="F112" s="1" t="s">
        <v>418</v>
      </c>
      <c r="G112" s="2" t="s">
        <v>1099</v>
      </c>
      <c r="H112" s="1"/>
      <c r="I112" s="1" t="str">
        <f>Table1[[#This Row],[idh]]</f>
        <v>6E</v>
      </c>
      <c r="J112" s="1" t="str">
        <f>CONCATENATE("an",Table1[[#This Row],[name]],"_ID")</f>
        <v>anGhostMonstaL_ID</v>
      </c>
      <c r="K112" s="1" t="str">
        <f>CONCATENATE(Table1[[#This Row],[asm]]," = $",Table1[[#This Row],[idh]])</f>
        <v>anGhostMonstaL_ID = $6E</v>
      </c>
      <c r="L112" s="1" t="str">
        <f>CONCATENATE("animNames.append(""",Table1[[#This Row],[name]],""")")</f>
        <v>animNames.append("GhostMonstaL")</v>
      </c>
      <c r="M112" s="8" t="str">
        <f>CONCATENATE("reqSprBanks.append(0x",Table1[[#This Row],[imgbank]],")")</f>
        <v>reqSprBanks.append(0x04)</v>
      </c>
    </row>
    <row r="113" spans="1:13" x14ac:dyDescent="0.25">
      <c r="A113" s="1">
        <v>111</v>
      </c>
      <c r="B113" s="1" t="s">
        <v>1206</v>
      </c>
      <c r="C113" s="2" t="s">
        <v>67</v>
      </c>
      <c r="D113" s="1" t="s">
        <v>831</v>
      </c>
      <c r="E113" s="3" t="s">
        <v>545</v>
      </c>
      <c r="F113" s="1" t="s">
        <v>418</v>
      </c>
      <c r="G113" s="2" t="s">
        <v>1099</v>
      </c>
      <c r="H113" s="1"/>
      <c r="I113" s="1" t="str">
        <f>Table1[[#This Row],[idh]]</f>
        <v>6F</v>
      </c>
      <c r="J113" s="1" t="str">
        <f>CONCATENATE("an",Table1[[#This Row],[name]],"_ID")</f>
        <v>anGhostMonstaR_ID</v>
      </c>
      <c r="K113" s="1" t="str">
        <f>CONCATENATE(Table1[[#This Row],[asm]]," = $",Table1[[#This Row],[idh]])</f>
        <v>anGhostMonstaR_ID = $6F</v>
      </c>
      <c r="L113" s="1" t="str">
        <f>CONCATENATE("animNames.append(""",Table1[[#This Row],[name]],""")")</f>
        <v>animNames.append("GhostMonstaR")</v>
      </c>
      <c r="M113" s="8" t="str">
        <f>CONCATENATE("reqSprBanks.append(0x",Table1[[#This Row],[imgbank]],")")</f>
        <v>reqSprBanks.append(0x04)</v>
      </c>
    </row>
    <row r="114" spans="1:13" x14ac:dyDescent="0.25">
      <c r="A114" s="1">
        <v>112</v>
      </c>
      <c r="B114" s="1" t="s">
        <v>1207</v>
      </c>
      <c r="C114" s="2" t="s">
        <v>323</v>
      </c>
      <c r="D114" s="1" t="s">
        <v>832</v>
      </c>
      <c r="E114" s="3" t="s">
        <v>546</v>
      </c>
      <c r="F114" s="1" t="s">
        <v>418</v>
      </c>
      <c r="G114" s="2" t="s">
        <v>1099</v>
      </c>
      <c r="H114" s="1"/>
      <c r="I114" s="1" t="str">
        <f>Table1[[#This Row],[idh]]</f>
        <v>70</v>
      </c>
      <c r="J114" s="1" t="str">
        <f>CONCATENATE("an",Table1[[#This Row],[name]],"_ID")</f>
        <v>anGhostMonstaReveal_ID</v>
      </c>
      <c r="K114" s="1" t="str">
        <f>CONCATENATE(Table1[[#This Row],[asm]]," = $",Table1[[#This Row],[idh]])</f>
        <v>anGhostMonstaReveal_ID = $70</v>
      </c>
      <c r="L114" s="1" t="str">
        <f>CONCATENATE("animNames.append(""",Table1[[#This Row],[name]],""")")</f>
        <v>animNames.append("GhostMonstaReveal")</v>
      </c>
      <c r="M114" s="8" t="str">
        <f>CONCATENATE("reqSprBanks.append(0x",Table1[[#This Row],[imgbank]],")")</f>
        <v>reqSprBanks.append(0x04)</v>
      </c>
    </row>
    <row r="115" spans="1:13" x14ac:dyDescent="0.25">
      <c r="A115" s="1">
        <v>113</v>
      </c>
      <c r="B115" s="1" t="s">
        <v>1208</v>
      </c>
      <c r="C115" s="2" t="s">
        <v>324</v>
      </c>
      <c r="D115" s="1" t="s">
        <v>833</v>
      </c>
      <c r="E115" s="3" t="s">
        <v>547</v>
      </c>
      <c r="F115" s="1" t="s">
        <v>435</v>
      </c>
      <c r="G115" s="2" t="s">
        <v>1099</v>
      </c>
      <c r="H115" s="1"/>
      <c r="I115" s="1" t="str">
        <f>Table1[[#This Row],[idh]]</f>
        <v>71</v>
      </c>
      <c r="J115" s="1" t="str">
        <f>CONCATENATE("an",Table1[[#This Row],[name]],"_ID")</f>
        <v>anChuckerTrapped_ID</v>
      </c>
      <c r="K115" s="1" t="str">
        <f>CONCATENATE(Table1[[#This Row],[asm]]," = $",Table1[[#This Row],[idh]])</f>
        <v>anChuckerTrapped_ID = $71</v>
      </c>
      <c r="L115" s="1" t="str">
        <f>CONCATENATE("animNames.append(""",Table1[[#This Row],[name]],""")")</f>
        <v>animNames.append("ChuckerTrapped")</v>
      </c>
      <c r="M115" s="8" t="str">
        <f>CONCATENATE("reqSprBanks.append(0x",Table1[[#This Row],[imgbank]],")")</f>
        <v>reqSprBanks.append(0x04)</v>
      </c>
    </row>
    <row r="116" spans="1:13" x14ac:dyDescent="0.25">
      <c r="A116" s="1">
        <v>114</v>
      </c>
      <c r="B116" s="1" t="s">
        <v>1209</v>
      </c>
      <c r="C116" s="2" t="s">
        <v>68</v>
      </c>
      <c r="D116" s="1" t="s">
        <v>834</v>
      </c>
      <c r="E116" s="3" t="s">
        <v>548</v>
      </c>
      <c r="F116" s="1" t="s">
        <v>436</v>
      </c>
      <c r="G116" s="2" t="s">
        <v>1099</v>
      </c>
      <c r="H116" s="1"/>
      <c r="I116" s="1" t="str">
        <f>Table1[[#This Row],[idh]]</f>
        <v>72</v>
      </c>
      <c r="J116" s="1" t="str">
        <f>CONCATENATE("an",Table1[[#This Row],[name]],"_ID")</f>
        <v>anRounderTrapped_ID</v>
      </c>
      <c r="K116" s="1" t="str">
        <f>CONCATENATE(Table1[[#This Row],[asm]]," = $",Table1[[#This Row],[idh]])</f>
        <v>anRounderTrapped_ID = $72</v>
      </c>
      <c r="L116" s="1" t="str">
        <f>CONCATENATE("animNames.append(""",Table1[[#This Row],[name]],""")")</f>
        <v>animNames.append("RounderTrapped")</v>
      </c>
      <c r="M116" s="8" t="str">
        <f>CONCATENATE("reqSprBanks.append(0x",Table1[[#This Row],[imgbank]],")")</f>
        <v>reqSprBanks.append(0x04)</v>
      </c>
    </row>
    <row r="117" spans="1:13" x14ac:dyDescent="0.25">
      <c r="A117" s="1">
        <v>115</v>
      </c>
      <c r="B117" s="1" t="s">
        <v>1210</v>
      </c>
      <c r="C117" s="2" t="s">
        <v>325</v>
      </c>
      <c r="D117" s="1" t="s">
        <v>835</v>
      </c>
      <c r="E117" s="3" t="s">
        <v>549</v>
      </c>
      <c r="F117" s="1" t="s">
        <v>420</v>
      </c>
      <c r="G117" s="2" t="s">
        <v>1099</v>
      </c>
      <c r="H117" s="1"/>
      <c r="I117" s="1" t="str">
        <f>Table1[[#This Row],[idh]]</f>
        <v>73</v>
      </c>
      <c r="J117" s="1" t="str">
        <f>CONCATENATE("an",Table1[[#This Row],[name]],"_ID")</f>
        <v>anSnaggerAttackL_ID</v>
      </c>
      <c r="K117" s="1" t="str">
        <f>CONCATENATE(Table1[[#This Row],[asm]]," = $",Table1[[#This Row],[idh]])</f>
        <v>anSnaggerAttackL_ID = $73</v>
      </c>
      <c r="L117" s="1" t="str">
        <f>CONCATENATE("animNames.append(""",Table1[[#This Row],[name]],""")")</f>
        <v>animNames.append("SnaggerAttackL")</v>
      </c>
      <c r="M117" s="8" t="str">
        <f>CONCATENATE("reqSprBanks.append(0x",Table1[[#This Row],[imgbank]],")")</f>
        <v>reqSprBanks.append(0x04)</v>
      </c>
    </row>
    <row r="118" spans="1:13" x14ac:dyDescent="0.25">
      <c r="A118" s="1">
        <v>116</v>
      </c>
      <c r="B118" s="1" t="s">
        <v>1211</v>
      </c>
      <c r="C118" s="2" t="s">
        <v>69</v>
      </c>
      <c r="D118" s="1" t="s">
        <v>836</v>
      </c>
      <c r="E118" s="3" t="s">
        <v>550</v>
      </c>
      <c r="F118" s="1" t="s">
        <v>420</v>
      </c>
      <c r="G118" s="2" t="s">
        <v>1099</v>
      </c>
      <c r="H118" s="1"/>
      <c r="I118" s="1" t="str">
        <f>Table1[[#This Row],[idh]]</f>
        <v>74</v>
      </c>
      <c r="J118" s="1" t="str">
        <f>CONCATENATE("an",Table1[[#This Row],[name]],"_ID")</f>
        <v>anSnaggerAttackR_ID</v>
      </c>
      <c r="K118" s="1" t="str">
        <f>CONCATENATE(Table1[[#This Row],[asm]]," = $",Table1[[#This Row],[idh]])</f>
        <v>anSnaggerAttackR_ID = $74</v>
      </c>
      <c r="L118" s="1" t="str">
        <f>CONCATENATE("animNames.append(""",Table1[[#This Row],[name]],""")")</f>
        <v>animNames.append("SnaggerAttackR")</v>
      </c>
      <c r="M118" s="8" t="str">
        <f>CONCATENATE("reqSprBanks.append(0x",Table1[[#This Row],[imgbank]],")")</f>
        <v>reqSprBanks.append(0x04)</v>
      </c>
    </row>
    <row r="119" spans="1:13" x14ac:dyDescent="0.25">
      <c r="A119" s="1">
        <v>117</v>
      </c>
      <c r="B119" s="1" t="s">
        <v>1212</v>
      </c>
      <c r="C119" s="2" t="s">
        <v>70</v>
      </c>
      <c r="D119" s="1" t="s">
        <v>837</v>
      </c>
      <c r="E119" s="3" t="s">
        <v>551</v>
      </c>
      <c r="F119" s="1" t="s">
        <v>424</v>
      </c>
      <c r="G119" s="2" t="s">
        <v>1099</v>
      </c>
      <c r="H119" s="1"/>
      <c r="I119" s="1" t="str">
        <f>Table1[[#This Row],[idh]]</f>
        <v>75</v>
      </c>
      <c r="J119" s="1" t="str">
        <f>CONCATENATE("an",Table1[[#This Row],[name]],"_ID")</f>
        <v>anInvaderBlast_ID</v>
      </c>
      <c r="K119" s="1" t="str">
        <f>CONCATENATE(Table1[[#This Row],[asm]]," = $",Table1[[#This Row],[idh]])</f>
        <v>anInvaderBlast_ID = $75</v>
      </c>
      <c r="L119" s="1" t="str">
        <f>CONCATENATE("animNames.append(""",Table1[[#This Row],[name]],""")")</f>
        <v>animNames.append("InvaderBlast")</v>
      </c>
      <c r="M119" s="8" t="str">
        <f>CONCATENATE("reqSprBanks.append(0x",Table1[[#This Row],[imgbank]],")")</f>
        <v>reqSprBanks.append(0x04)</v>
      </c>
    </row>
    <row r="120" spans="1:13" x14ac:dyDescent="0.25">
      <c r="A120" s="1">
        <v>118</v>
      </c>
      <c r="B120" s="1" t="s">
        <v>1213</v>
      </c>
      <c r="C120" s="2" t="s">
        <v>71</v>
      </c>
      <c r="D120" s="1" t="s">
        <v>839</v>
      </c>
      <c r="E120" s="3" t="s">
        <v>838</v>
      </c>
      <c r="F120" s="1" t="s">
        <v>437</v>
      </c>
      <c r="G120" s="2" t="s">
        <v>1099</v>
      </c>
      <c r="H120" s="1"/>
      <c r="I120" s="1" t="str">
        <f>Table1[[#This Row],[idh]]</f>
        <v>76</v>
      </c>
      <c r="J120" s="1" t="str">
        <f>CONCATENATE("an",Table1[[#This Row],[name]],"_ID")</f>
        <v>anRuckusBlast_ID</v>
      </c>
      <c r="K120" s="1" t="str">
        <f>CONCATENATE(Table1[[#This Row],[asm]]," = $",Table1[[#This Row],[idh]])</f>
        <v>anRuckusBlast_ID = $76</v>
      </c>
      <c r="L120" s="1" t="str">
        <f>CONCATENATE("animNames.append(""",Table1[[#This Row],[name]],""")")</f>
        <v>animNames.append("RuckusBlast")</v>
      </c>
      <c r="M120" s="8" t="str">
        <f>CONCATENATE("reqSprBanks.append(0x",Table1[[#This Row],[imgbank]],")")</f>
        <v>reqSprBanks.append(0x04)</v>
      </c>
    </row>
    <row r="121" spans="1:13" x14ac:dyDescent="0.25">
      <c r="A121" s="1">
        <v>119</v>
      </c>
      <c r="B121" s="1" t="s">
        <v>1214</v>
      </c>
      <c r="C121" s="2" t="s">
        <v>72</v>
      </c>
      <c r="D121" s="1" t="s">
        <v>840</v>
      </c>
      <c r="E121" s="3" t="s">
        <v>552</v>
      </c>
      <c r="F121" s="1" t="s">
        <v>422</v>
      </c>
      <c r="G121" s="2" t="s">
        <v>1099</v>
      </c>
      <c r="H121" s="1"/>
      <c r="I121" s="1" t="str">
        <f>Table1[[#This Row],[idh]]</f>
        <v>77</v>
      </c>
      <c r="J121" s="1" t="str">
        <f>CONCATENATE("an",Table1[[#This Row],[name]],"_ID")</f>
        <v>anBlobbyCeilL_ID</v>
      </c>
      <c r="K121" s="1" t="str">
        <f>CONCATENATE(Table1[[#This Row],[asm]]," = $",Table1[[#This Row],[idh]])</f>
        <v>anBlobbyCeilL_ID = $77</v>
      </c>
      <c r="L121" s="1" t="str">
        <f>CONCATENATE("animNames.append(""",Table1[[#This Row],[name]],""")")</f>
        <v>animNames.append("BlobbyCeilL")</v>
      </c>
      <c r="M121" s="8" t="str">
        <f>CONCATENATE("reqSprBanks.append(0x",Table1[[#This Row],[imgbank]],")")</f>
        <v>reqSprBanks.append(0x04)</v>
      </c>
    </row>
    <row r="122" spans="1:13" x14ac:dyDescent="0.25">
      <c r="A122" s="1">
        <v>120</v>
      </c>
      <c r="B122" s="1" t="s">
        <v>1215</v>
      </c>
      <c r="C122" s="2" t="s">
        <v>326</v>
      </c>
      <c r="D122" s="1" t="s">
        <v>841</v>
      </c>
      <c r="E122" s="3" t="s">
        <v>553</v>
      </c>
      <c r="F122" s="1" t="s">
        <v>422</v>
      </c>
      <c r="G122" s="2" t="s">
        <v>1099</v>
      </c>
      <c r="H122" s="1"/>
      <c r="I122" s="1" t="str">
        <f>Table1[[#This Row],[idh]]</f>
        <v>78</v>
      </c>
      <c r="J122" s="1" t="str">
        <f>CONCATENATE("an",Table1[[#This Row],[name]],"_ID")</f>
        <v>anBlobbyCeilR_ID</v>
      </c>
      <c r="K122" s="1" t="str">
        <f>CONCATENATE(Table1[[#This Row],[asm]]," = $",Table1[[#This Row],[idh]])</f>
        <v>anBlobbyCeilR_ID = $78</v>
      </c>
      <c r="L122" s="1" t="str">
        <f>CONCATENATE("animNames.append(""",Table1[[#This Row],[name]],""")")</f>
        <v>animNames.append("BlobbyCeilR")</v>
      </c>
      <c r="M122" s="8" t="str">
        <f>CONCATENATE("reqSprBanks.append(0x",Table1[[#This Row],[imgbank]],")")</f>
        <v>reqSprBanks.append(0x04)</v>
      </c>
    </row>
    <row r="123" spans="1:13" x14ac:dyDescent="0.25">
      <c r="A123" s="1">
        <v>121</v>
      </c>
      <c r="B123" s="1" t="s">
        <v>1216</v>
      </c>
      <c r="C123" s="2" t="s">
        <v>73</v>
      </c>
      <c r="D123" s="1" t="s">
        <v>842</v>
      </c>
      <c r="E123" s="3" t="s">
        <v>556</v>
      </c>
      <c r="F123" s="1" t="s">
        <v>422</v>
      </c>
      <c r="G123" s="2" t="s">
        <v>1099</v>
      </c>
      <c r="H123" s="1"/>
      <c r="I123" s="1" t="str">
        <f>Table1[[#This Row],[idh]]</f>
        <v>79</v>
      </c>
      <c r="J123" s="1" t="str">
        <f>CONCATENATE("an",Table1[[#This Row],[name]],"_ID")</f>
        <v>anBlobbyOverL_ID</v>
      </c>
      <c r="K123" s="1" t="str">
        <f>CONCATENATE(Table1[[#This Row],[asm]]," = $",Table1[[#This Row],[idh]])</f>
        <v>anBlobbyOverL_ID = $79</v>
      </c>
      <c r="L123" s="1" t="str">
        <f>CONCATENATE("animNames.append(""",Table1[[#This Row],[name]],""")")</f>
        <v>animNames.append("BlobbyOverL")</v>
      </c>
      <c r="M123" s="8" t="str">
        <f>CONCATENATE("reqSprBanks.append(0x",Table1[[#This Row],[imgbank]],")")</f>
        <v>reqSprBanks.append(0x04)</v>
      </c>
    </row>
    <row r="124" spans="1:13" x14ac:dyDescent="0.25">
      <c r="A124" s="1">
        <v>122</v>
      </c>
      <c r="B124" s="1" t="s">
        <v>1217</v>
      </c>
      <c r="C124" s="2" t="s">
        <v>327</v>
      </c>
      <c r="D124" s="1" t="s">
        <v>843</v>
      </c>
      <c r="E124" s="3" t="s">
        <v>557</v>
      </c>
      <c r="F124" s="1" t="s">
        <v>422</v>
      </c>
      <c r="G124" s="2" t="s">
        <v>1099</v>
      </c>
      <c r="H124" s="1"/>
      <c r="I124" s="1" t="str">
        <f>Table1[[#This Row],[idh]]</f>
        <v>7A</v>
      </c>
      <c r="J124" s="1" t="str">
        <f>CONCATENATE("an",Table1[[#This Row],[name]],"_ID")</f>
        <v>anBlobbyOverR_ID</v>
      </c>
      <c r="K124" s="1" t="str">
        <f>CONCATENATE(Table1[[#This Row],[asm]]," = $",Table1[[#This Row],[idh]])</f>
        <v>anBlobbyOverR_ID = $7A</v>
      </c>
      <c r="L124" s="1" t="str">
        <f>CONCATENATE("animNames.append(""",Table1[[#This Row],[name]],""")")</f>
        <v>animNames.append("BlobbyOverR")</v>
      </c>
      <c r="M124" s="8" t="str">
        <f>CONCATENATE("reqSprBanks.append(0x",Table1[[#This Row],[imgbank]],")")</f>
        <v>reqSprBanks.append(0x04)</v>
      </c>
    </row>
    <row r="125" spans="1:13" x14ac:dyDescent="0.25">
      <c r="A125" s="1">
        <v>123</v>
      </c>
      <c r="B125" s="1" t="s">
        <v>1218</v>
      </c>
      <c r="C125" s="2" t="s">
        <v>74</v>
      </c>
      <c r="D125" s="1" t="s">
        <v>844</v>
      </c>
      <c r="E125" s="3" t="s">
        <v>558</v>
      </c>
      <c r="F125" s="1" t="s">
        <v>422</v>
      </c>
      <c r="G125" s="2" t="s">
        <v>1099</v>
      </c>
      <c r="H125" s="1"/>
      <c r="I125" s="1" t="str">
        <f>Table1[[#This Row],[idh]]</f>
        <v>7B</v>
      </c>
      <c r="J125" s="1" t="str">
        <f>CONCATENATE("an",Table1[[#This Row],[name]],"_ID")</f>
        <v>anBlobbyUnderL_ID</v>
      </c>
      <c r="K125" s="1" t="str">
        <f>CONCATENATE(Table1[[#This Row],[asm]]," = $",Table1[[#This Row],[idh]])</f>
        <v>anBlobbyUnderL_ID = $7B</v>
      </c>
      <c r="L125" s="1" t="str">
        <f>CONCATENATE("animNames.append(""",Table1[[#This Row],[name]],""")")</f>
        <v>animNames.append("BlobbyUnderL")</v>
      </c>
      <c r="M125" s="8" t="str">
        <f>CONCATENATE("reqSprBanks.append(0x",Table1[[#This Row],[imgbank]],")")</f>
        <v>reqSprBanks.append(0x04)</v>
      </c>
    </row>
    <row r="126" spans="1:13" x14ac:dyDescent="0.25">
      <c r="A126" s="1">
        <v>124</v>
      </c>
      <c r="B126" s="1" t="s">
        <v>1219</v>
      </c>
      <c r="C126" s="2" t="s">
        <v>75</v>
      </c>
      <c r="D126" s="1" t="s">
        <v>845</v>
      </c>
      <c r="E126" s="3" t="s">
        <v>559</v>
      </c>
      <c r="F126" s="1" t="s">
        <v>422</v>
      </c>
      <c r="G126" s="2" t="s">
        <v>1099</v>
      </c>
      <c r="H126" s="1"/>
      <c r="I126" s="1" t="str">
        <f>Table1[[#This Row],[idh]]</f>
        <v>7C</v>
      </c>
      <c r="J126" s="1" t="str">
        <f>CONCATENATE("an",Table1[[#This Row],[name]],"_ID")</f>
        <v>anBlobbyUnderR_ID</v>
      </c>
      <c r="K126" s="1" t="str">
        <f>CONCATENATE(Table1[[#This Row],[asm]]," = $",Table1[[#This Row],[idh]])</f>
        <v>anBlobbyUnderR_ID = $7C</v>
      </c>
      <c r="L126" s="1" t="str">
        <f>CONCATENATE("animNames.append(""",Table1[[#This Row],[name]],""")")</f>
        <v>animNames.append("BlobbyUnderR")</v>
      </c>
      <c r="M126" s="8" t="str">
        <f>CONCATENATE("reqSprBanks.append(0x",Table1[[#This Row],[imgbank]],")")</f>
        <v>reqSprBanks.append(0x04)</v>
      </c>
    </row>
    <row r="127" spans="1:13" x14ac:dyDescent="0.25">
      <c r="A127" s="1">
        <v>125</v>
      </c>
      <c r="B127" s="1" t="s">
        <v>1220</v>
      </c>
      <c r="C127" s="2" t="s">
        <v>76</v>
      </c>
      <c r="D127" s="1" t="s">
        <v>846</v>
      </c>
      <c r="E127" s="3" t="s">
        <v>554</v>
      </c>
      <c r="F127" s="1" t="s">
        <v>422</v>
      </c>
      <c r="G127" s="2" t="s">
        <v>1099</v>
      </c>
      <c r="H127" s="1"/>
      <c r="I127" s="1" t="str">
        <f>Table1[[#This Row],[idh]]</f>
        <v>7D</v>
      </c>
      <c r="J127" s="1" t="str">
        <f>CONCATENATE("an",Table1[[#This Row],[name]],"_ID")</f>
        <v>anBlobbyUpL_ID</v>
      </c>
      <c r="K127" s="1" t="str">
        <f>CONCATENATE(Table1[[#This Row],[asm]]," = $",Table1[[#This Row],[idh]])</f>
        <v>anBlobbyUpL_ID = $7D</v>
      </c>
      <c r="L127" s="1" t="str">
        <f>CONCATENATE("animNames.append(""",Table1[[#This Row],[name]],""")")</f>
        <v>animNames.append("BlobbyUpL")</v>
      </c>
      <c r="M127" s="8" t="str">
        <f>CONCATENATE("reqSprBanks.append(0x",Table1[[#This Row],[imgbank]],")")</f>
        <v>reqSprBanks.append(0x04)</v>
      </c>
    </row>
    <row r="128" spans="1:13" x14ac:dyDescent="0.25">
      <c r="A128" s="1">
        <v>126</v>
      </c>
      <c r="B128" s="1" t="s">
        <v>1221</v>
      </c>
      <c r="C128" s="2" t="s">
        <v>77</v>
      </c>
      <c r="D128" s="1" t="s">
        <v>847</v>
      </c>
      <c r="E128" s="3" t="s">
        <v>555</v>
      </c>
      <c r="F128" s="1" t="s">
        <v>422</v>
      </c>
      <c r="G128" s="2" t="s">
        <v>1099</v>
      </c>
      <c r="H128" s="1"/>
      <c r="I128" s="1" t="str">
        <f>Table1[[#This Row],[idh]]</f>
        <v>7E</v>
      </c>
      <c r="J128" s="1" t="str">
        <f>CONCATENATE("an",Table1[[#This Row],[name]],"_ID")</f>
        <v>anBlobbyUpR_ID</v>
      </c>
      <c r="K128" s="1" t="str">
        <f>CONCATENATE(Table1[[#This Row],[asm]]," = $",Table1[[#This Row],[idh]])</f>
        <v>anBlobbyUpR_ID = $7E</v>
      </c>
      <c r="L128" s="1" t="str">
        <f>CONCATENATE("animNames.append(""",Table1[[#This Row],[name]],""")")</f>
        <v>animNames.append("BlobbyUpR")</v>
      </c>
      <c r="M128" s="8" t="str">
        <f>CONCATENATE("reqSprBanks.append(0x",Table1[[#This Row],[imgbank]],")")</f>
        <v>reqSprBanks.append(0x04)</v>
      </c>
    </row>
    <row r="129" spans="1:13" x14ac:dyDescent="0.25">
      <c r="A129" s="1">
        <v>127</v>
      </c>
      <c r="B129" s="1" t="s">
        <v>1222</v>
      </c>
      <c r="C129" s="2" t="s">
        <v>78</v>
      </c>
      <c r="D129" s="1" t="s">
        <v>850</v>
      </c>
      <c r="E129" s="3" t="s">
        <v>560</v>
      </c>
      <c r="F129" s="1" t="s">
        <v>422</v>
      </c>
      <c r="G129" s="2" t="s">
        <v>1099</v>
      </c>
      <c r="H129" s="1"/>
      <c r="I129" s="1" t="str">
        <f>Table1[[#This Row],[idh]]</f>
        <v>7F</v>
      </c>
      <c r="J129" s="1" t="str">
        <f>CONCATENATE("an",Table1[[#This Row],[name]],"_ID")</f>
        <v>anBlobbyFlyDownL_ID</v>
      </c>
      <c r="K129" s="1" t="str">
        <f>CONCATENATE(Table1[[#This Row],[asm]]," = $",Table1[[#This Row],[idh]])</f>
        <v>anBlobbyFlyDownL_ID = $7F</v>
      </c>
      <c r="L129" s="1" t="str">
        <f>CONCATENATE("animNames.append(""",Table1[[#This Row],[name]],""")")</f>
        <v>animNames.append("BlobbyFlyDownL")</v>
      </c>
      <c r="M129" s="8" t="str">
        <f>CONCATENATE("reqSprBanks.append(0x",Table1[[#This Row],[imgbank]],")")</f>
        <v>reqSprBanks.append(0x04)</v>
      </c>
    </row>
    <row r="130" spans="1:13" x14ac:dyDescent="0.25">
      <c r="A130" s="1">
        <v>128</v>
      </c>
      <c r="B130" s="1" t="s">
        <v>1223</v>
      </c>
      <c r="C130" s="2" t="s">
        <v>79</v>
      </c>
      <c r="D130" s="1" t="s">
        <v>851</v>
      </c>
      <c r="E130" s="3" t="s">
        <v>561</v>
      </c>
      <c r="F130" s="1" t="s">
        <v>422</v>
      </c>
      <c r="G130" s="2" t="s">
        <v>1099</v>
      </c>
      <c r="H130" s="1"/>
      <c r="I130" s="1" t="str">
        <f>Table1[[#This Row],[idh]]</f>
        <v>80</v>
      </c>
      <c r="J130" s="1" t="str">
        <f>CONCATENATE("an",Table1[[#This Row],[name]],"_ID")</f>
        <v>anBlobbyFlyDownR_ID</v>
      </c>
      <c r="K130" s="1" t="str">
        <f>CONCATENATE(Table1[[#This Row],[asm]]," = $",Table1[[#This Row],[idh]])</f>
        <v>anBlobbyFlyDownR_ID = $80</v>
      </c>
      <c r="L130" s="1" t="str">
        <f>CONCATENATE("animNames.append(""",Table1[[#This Row],[name]],""")")</f>
        <v>animNames.append("BlobbyFlyDownR")</v>
      </c>
      <c r="M130" s="8" t="str">
        <f>CONCATENATE("reqSprBanks.append(0x",Table1[[#This Row],[imgbank]],")")</f>
        <v>reqSprBanks.append(0x04)</v>
      </c>
    </row>
    <row r="131" spans="1:13" x14ac:dyDescent="0.25">
      <c r="A131" s="1">
        <v>129</v>
      </c>
      <c r="B131" s="1" t="s">
        <v>1224</v>
      </c>
      <c r="C131" s="2" t="s">
        <v>80</v>
      </c>
      <c r="D131" s="1" t="s">
        <v>848</v>
      </c>
      <c r="E131" s="3" t="s">
        <v>563</v>
      </c>
      <c r="F131" s="1" t="s">
        <v>422</v>
      </c>
      <c r="G131" s="2" t="s">
        <v>1099</v>
      </c>
      <c r="H131" s="1"/>
      <c r="I131" s="1" t="str">
        <f>Table1[[#This Row],[idh]]</f>
        <v>81</v>
      </c>
      <c r="J131" s="1" t="str">
        <f>CONCATENATE("an",Table1[[#This Row],[name]],"_ID")</f>
        <v>anBlobbyDownL_ID</v>
      </c>
      <c r="K131" s="1" t="str">
        <f>CONCATENATE(Table1[[#This Row],[asm]]," = $",Table1[[#This Row],[idh]])</f>
        <v>anBlobbyDownL_ID = $81</v>
      </c>
      <c r="L131" s="1" t="str">
        <f>CONCATENATE("animNames.append(""",Table1[[#This Row],[name]],""")")</f>
        <v>animNames.append("BlobbyDownL")</v>
      </c>
      <c r="M131" s="8" t="str">
        <f>CONCATENATE("reqSprBanks.append(0x",Table1[[#This Row],[imgbank]],")")</f>
        <v>reqSprBanks.append(0x04)</v>
      </c>
    </row>
    <row r="132" spans="1:13" x14ac:dyDescent="0.25">
      <c r="A132" s="1">
        <v>130</v>
      </c>
      <c r="B132" s="1" t="s">
        <v>1225</v>
      </c>
      <c r="C132" s="2" t="s">
        <v>81</v>
      </c>
      <c r="D132" s="1" t="s">
        <v>849</v>
      </c>
      <c r="E132" s="3" t="s">
        <v>562</v>
      </c>
      <c r="F132" s="1" t="s">
        <v>422</v>
      </c>
      <c r="G132" s="2" t="s">
        <v>1099</v>
      </c>
      <c r="H132" s="1"/>
      <c r="I132" s="1" t="str">
        <f>Table1[[#This Row],[idh]]</f>
        <v>82</v>
      </c>
      <c r="J132" s="1" t="str">
        <f>CONCATENATE("an",Table1[[#This Row],[name]],"_ID")</f>
        <v>anBlobbyDownR_ID</v>
      </c>
      <c r="K132" s="1" t="str">
        <f>CONCATENATE(Table1[[#This Row],[asm]]," = $",Table1[[#This Row],[idh]])</f>
        <v>anBlobbyDownR_ID = $82</v>
      </c>
      <c r="L132" s="1" t="str">
        <f>CONCATENATE("animNames.append(""",Table1[[#This Row],[name]],""")")</f>
        <v>animNames.append("BlobbyDownR")</v>
      </c>
      <c r="M132" s="8" t="str">
        <f>CONCATENATE("reqSprBanks.append(0x",Table1[[#This Row],[imgbank]],")")</f>
        <v>reqSprBanks.append(0x04)</v>
      </c>
    </row>
    <row r="133" spans="1:13" x14ac:dyDescent="0.25">
      <c r="A133" s="1">
        <v>131</v>
      </c>
      <c r="B133" s="1" t="s">
        <v>1226</v>
      </c>
      <c r="C133" s="2" t="s">
        <v>328</v>
      </c>
      <c r="D133" s="1" t="s">
        <v>852</v>
      </c>
      <c r="E133" s="3" t="s">
        <v>564</v>
      </c>
      <c r="F133" s="1" t="s">
        <v>422</v>
      </c>
      <c r="G133" s="2" t="s">
        <v>1099</v>
      </c>
      <c r="H133" s="1"/>
      <c r="I133" s="1" t="str">
        <f>Table1[[#This Row],[idh]]</f>
        <v>83</v>
      </c>
      <c r="J133" s="1" t="str">
        <f>CONCATENATE("an",Table1[[#This Row],[name]],"_ID")</f>
        <v>anBlobbyFlyUpL_ID</v>
      </c>
      <c r="K133" s="1" t="str">
        <f>CONCATENATE(Table1[[#This Row],[asm]]," = $",Table1[[#This Row],[idh]])</f>
        <v>anBlobbyFlyUpL_ID = $83</v>
      </c>
      <c r="L133" s="1" t="str">
        <f>CONCATENATE("animNames.append(""",Table1[[#This Row],[name]],""")")</f>
        <v>animNames.append("BlobbyFlyUpL")</v>
      </c>
      <c r="M133" s="8" t="str">
        <f>CONCATENATE("reqSprBanks.append(0x",Table1[[#This Row],[imgbank]],")")</f>
        <v>reqSprBanks.append(0x04)</v>
      </c>
    </row>
    <row r="134" spans="1:13" x14ac:dyDescent="0.25">
      <c r="A134" s="1">
        <v>132</v>
      </c>
      <c r="B134" s="1" t="s">
        <v>1227</v>
      </c>
      <c r="C134" s="2" t="s">
        <v>82</v>
      </c>
      <c r="D134" s="1" t="s">
        <v>853</v>
      </c>
      <c r="E134" s="3" t="s">
        <v>565</v>
      </c>
      <c r="F134" s="1" t="s">
        <v>422</v>
      </c>
      <c r="G134" s="2" t="s">
        <v>1099</v>
      </c>
      <c r="H134" s="1"/>
      <c r="I134" s="1" t="str">
        <f>Table1[[#This Row],[idh]]</f>
        <v>84</v>
      </c>
      <c r="J134" s="1" t="str">
        <f>CONCATENATE("an",Table1[[#This Row],[name]],"_ID")</f>
        <v>anBlobbyFlyUpR_ID</v>
      </c>
      <c r="K134" s="1" t="str">
        <f>CONCATENATE(Table1[[#This Row],[asm]]," = $",Table1[[#This Row],[idh]])</f>
        <v>anBlobbyFlyUpR_ID = $84</v>
      </c>
      <c r="L134" s="1" t="str">
        <f>CONCATENATE("animNames.append(""",Table1[[#This Row],[name]],""")")</f>
        <v>animNames.append("BlobbyFlyUpR")</v>
      </c>
      <c r="M134" s="8" t="str">
        <f>CONCATENATE("reqSprBanks.append(0x",Table1[[#This Row],[imgbank]],")")</f>
        <v>reqSprBanks.append(0x04)</v>
      </c>
    </row>
    <row r="135" spans="1:13" x14ac:dyDescent="0.25">
      <c r="A135" s="1">
        <v>133</v>
      </c>
      <c r="B135" s="1" t="s">
        <v>1228</v>
      </c>
      <c r="C135" s="2" t="s">
        <v>83</v>
      </c>
      <c r="D135" s="1" t="s">
        <v>854</v>
      </c>
      <c r="E135" s="3" t="s">
        <v>566</v>
      </c>
      <c r="F135" s="1" t="s">
        <v>426</v>
      </c>
      <c r="G135" s="2" t="s">
        <v>1099</v>
      </c>
      <c r="H135" s="1"/>
      <c r="I135" s="1" t="str">
        <f>Table1[[#This Row],[idh]]</f>
        <v>85</v>
      </c>
      <c r="J135" s="1" t="str">
        <f>CONCATENATE("an",Table1[[#This Row],[name]],"_ID")</f>
        <v>anCarryHeliExitL_ID</v>
      </c>
      <c r="K135" s="1" t="str">
        <f>CONCATENATE(Table1[[#This Row],[asm]]," = $",Table1[[#This Row],[idh]])</f>
        <v>anCarryHeliExitL_ID = $85</v>
      </c>
      <c r="L135" s="1" t="str">
        <f>CONCATENATE("animNames.append(""",Table1[[#This Row],[name]],""")")</f>
        <v>animNames.append("CarryHeliExitL")</v>
      </c>
      <c r="M135" s="8" t="str">
        <f>CONCATENATE("reqSprBanks.append(0x",Table1[[#This Row],[imgbank]],")")</f>
        <v>reqSprBanks.append(0x04)</v>
      </c>
    </row>
    <row r="136" spans="1:13" x14ac:dyDescent="0.25">
      <c r="A136" s="1">
        <v>134</v>
      </c>
      <c r="B136" s="1" t="s">
        <v>1229</v>
      </c>
      <c r="C136" s="2" t="s">
        <v>84</v>
      </c>
      <c r="D136" s="1" t="s">
        <v>855</v>
      </c>
      <c r="E136" s="3" t="s">
        <v>567</v>
      </c>
      <c r="F136" s="1" t="s">
        <v>426</v>
      </c>
      <c r="G136" s="2" t="s">
        <v>1099</v>
      </c>
      <c r="H136" s="1"/>
      <c r="I136" s="1" t="str">
        <f>Table1[[#This Row],[idh]]</f>
        <v>86</v>
      </c>
      <c r="J136" s="1" t="str">
        <f>CONCATENATE("an",Table1[[#This Row],[name]],"_ID")</f>
        <v>anCarryHeliExitR_ID</v>
      </c>
      <c r="K136" s="1" t="str">
        <f>CONCATENATE(Table1[[#This Row],[asm]]," = $",Table1[[#This Row],[idh]])</f>
        <v>anCarryHeliExitR_ID = $86</v>
      </c>
      <c r="L136" s="1" t="str">
        <f>CONCATENATE("animNames.append(""",Table1[[#This Row],[name]],""")")</f>
        <v>animNames.append("CarryHeliExitR")</v>
      </c>
      <c r="M136" s="8" t="str">
        <f>CONCATENATE("reqSprBanks.append(0x",Table1[[#This Row],[imgbank]],")")</f>
        <v>reqSprBanks.append(0x04)</v>
      </c>
    </row>
    <row r="137" spans="1:13" x14ac:dyDescent="0.25">
      <c r="A137" s="1">
        <v>135</v>
      </c>
      <c r="B137" s="1" t="s">
        <v>1230</v>
      </c>
      <c r="C137" s="2" t="s">
        <v>329</v>
      </c>
      <c r="D137" s="1" t="s">
        <v>856</v>
      </c>
      <c r="E137" s="3" t="s">
        <v>568</v>
      </c>
      <c r="F137" s="1" t="s">
        <v>425</v>
      </c>
      <c r="G137" s="2" t="s">
        <v>1099</v>
      </c>
      <c r="H137" s="1"/>
      <c r="I137" s="1" t="str">
        <f>Table1[[#This Row],[idh]]</f>
        <v>87</v>
      </c>
      <c r="J137" s="1" t="str">
        <f>CONCATENATE("an",Table1[[#This Row],[name]],"_ID")</f>
        <v>anHeitaiKunExposedL_ID</v>
      </c>
      <c r="K137" s="1" t="str">
        <f>CONCATENATE(Table1[[#This Row],[asm]]," = $",Table1[[#This Row],[idh]])</f>
        <v>anHeitaiKunExposedL_ID = $87</v>
      </c>
      <c r="L137" s="1" t="str">
        <f>CONCATENATE("animNames.append(""",Table1[[#This Row],[name]],""")")</f>
        <v>animNames.append("HeitaiKunExposedL")</v>
      </c>
      <c r="M137" s="8" t="str">
        <f>CONCATENATE("reqSprBanks.append(0x",Table1[[#This Row],[imgbank]],")")</f>
        <v>reqSprBanks.append(0x04)</v>
      </c>
    </row>
    <row r="138" spans="1:13" x14ac:dyDescent="0.25">
      <c r="A138" s="1">
        <v>136</v>
      </c>
      <c r="B138" s="1" t="s">
        <v>1231</v>
      </c>
      <c r="C138" s="2" t="s">
        <v>85</v>
      </c>
      <c r="D138" s="1" t="s">
        <v>857</v>
      </c>
      <c r="E138" s="3" t="s">
        <v>569</v>
      </c>
      <c r="F138" s="1" t="s">
        <v>425</v>
      </c>
      <c r="G138" s="2" t="s">
        <v>1099</v>
      </c>
      <c r="H138" s="1"/>
      <c r="I138" s="1" t="str">
        <f>Table1[[#This Row],[idh]]</f>
        <v>88</v>
      </c>
      <c r="J138" s="1" t="str">
        <f>CONCATENATE("an",Table1[[#This Row],[name]],"_ID")</f>
        <v>anHeitaiKunExposedR_ID</v>
      </c>
      <c r="K138" s="1" t="str">
        <f>CONCATENATE(Table1[[#This Row],[asm]]," = $",Table1[[#This Row],[idh]])</f>
        <v>anHeitaiKunExposedR_ID = $88</v>
      </c>
      <c r="L138" s="1" t="str">
        <f>CONCATENATE("animNames.append(""",Table1[[#This Row],[name]],""")")</f>
        <v>animNames.append("HeitaiKunExposedR")</v>
      </c>
      <c r="M138" s="8" t="str">
        <f>CONCATENATE("reqSprBanks.append(0x",Table1[[#This Row],[imgbank]],")")</f>
        <v>reqSprBanks.append(0x04)</v>
      </c>
    </row>
    <row r="139" spans="1:13" x14ac:dyDescent="0.25">
      <c r="A139" s="1">
        <v>137</v>
      </c>
      <c r="B139" s="1" t="s">
        <v>1232</v>
      </c>
      <c r="C139" s="2" t="s">
        <v>330</v>
      </c>
      <c r="D139" s="1" t="s">
        <v>858</v>
      </c>
      <c r="E139" s="3" t="s">
        <v>570</v>
      </c>
      <c r="F139" s="1" t="s">
        <v>425</v>
      </c>
      <c r="G139" s="2" t="s">
        <v>1099</v>
      </c>
      <c r="H139" s="1"/>
      <c r="I139" s="1" t="str">
        <f>Table1[[#This Row],[idh]]</f>
        <v>89</v>
      </c>
      <c r="J139" s="1" t="str">
        <f>CONCATENATE("an",Table1[[#This Row],[name]],"_ID")</f>
        <v>anHeitaiKunHelmetL_ID</v>
      </c>
      <c r="K139" s="1" t="str">
        <f>CONCATENATE(Table1[[#This Row],[asm]]," = $",Table1[[#This Row],[idh]])</f>
        <v>anHeitaiKunHelmetL_ID = $89</v>
      </c>
      <c r="L139" s="1" t="str">
        <f>CONCATENATE("animNames.append(""",Table1[[#This Row],[name]],""")")</f>
        <v>animNames.append("HeitaiKunHelmetL")</v>
      </c>
      <c r="M139" s="8" t="str">
        <f>CONCATENATE("reqSprBanks.append(0x",Table1[[#This Row],[imgbank]],")")</f>
        <v>reqSprBanks.append(0x04)</v>
      </c>
    </row>
    <row r="140" spans="1:13" x14ac:dyDescent="0.25">
      <c r="A140" s="1">
        <v>138</v>
      </c>
      <c r="B140" s="1" t="s">
        <v>1233</v>
      </c>
      <c r="C140" s="2" t="s">
        <v>331</v>
      </c>
      <c r="D140" s="1" t="s">
        <v>859</v>
      </c>
      <c r="E140" s="3" t="s">
        <v>571</v>
      </c>
      <c r="F140" s="1" t="s">
        <v>425</v>
      </c>
      <c r="G140" s="2" t="s">
        <v>1099</v>
      </c>
      <c r="H140" s="1"/>
      <c r="I140" s="1" t="str">
        <f>Table1[[#This Row],[idh]]</f>
        <v>8A</v>
      </c>
      <c r="J140" s="1" t="str">
        <f>CONCATENATE("an",Table1[[#This Row],[name]],"_ID")</f>
        <v>anHeitaiKunHelmetR_ID</v>
      </c>
      <c r="K140" s="1" t="str">
        <f>CONCATENATE(Table1[[#This Row],[asm]]," = $",Table1[[#This Row],[idh]])</f>
        <v>anHeitaiKunHelmetR_ID = $8A</v>
      </c>
      <c r="L140" s="1" t="str">
        <f>CONCATENATE("animNames.append(""",Table1[[#This Row],[name]],""")")</f>
        <v>animNames.append("HeitaiKunHelmetR")</v>
      </c>
      <c r="M140" s="8" t="str">
        <f>CONCATENATE("reqSprBanks.append(0x",Table1[[#This Row],[imgbank]],")")</f>
        <v>reqSprBanks.append(0x04)</v>
      </c>
    </row>
    <row r="141" spans="1:13" x14ac:dyDescent="0.25">
      <c r="A141" s="1">
        <v>139</v>
      </c>
      <c r="B141" s="1" t="s">
        <v>1234</v>
      </c>
      <c r="C141" s="2" t="s">
        <v>86</v>
      </c>
      <c r="D141" s="1" t="s">
        <v>860</v>
      </c>
      <c r="E141" s="3" t="s">
        <v>572</v>
      </c>
      <c r="F141" s="1" t="s">
        <v>426</v>
      </c>
      <c r="G141" s="2" t="s">
        <v>1099</v>
      </c>
      <c r="H141" s="1"/>
      <c r="I141" s="1" t="str">
        <f>Table1[[#This Row],[idh]]</f>
        <v>8B</v>
      </c>
      <c r="J141" s="1" t="str">
        <f>CONCATENATE("an",Table1[[#This Row],[name]],"_ID")</f>
        <v>anCarryHeliOpenL_ID</v>
      </c>
      <c r="K141" s="1" t="str">
        <f>CONCATENATE(Table1[[#This Row],[asm]]," = $",Table1[[#This Row],[idh]])</f>
        <v>anCarryHeliOpenL_ID = $8B</v>
      </c>
      <c r="L141" s="1" t="str">
        <f>CONCATENATE("animNames.append(""",Table1[[#This Row],[name]],""")")</f>
        <v>animNames.append("CarryHeliOpenL")</v>
      </c>
      <c r="M141" s="8" t="str">
        <f>CONCATENATE("reqSprBanks.append(0x",Table1[[#This Row],[imgbank]],")")</f>
        <v>reqSprBanks.append(0x04)</v>
      </c>
    </row>
    <row r="142" spans="1:13" x14ac:dyDescent="0.25">
      <c r="A142" s="1">
        <v>140</v>
      </c>
      <c r="B142" s="1" t="s">
        <v>1235</v>
      </c>
      <c r="C142" s="2" t="s">
        <v>332</v>
      </c>
      <c r="D142" s="1" t="s">
        <v>861</v>
      </c>
      <c r="E142" s="3" t="s">
        <v>573</v>
      </c>
      <c r="F142" s="1" t="s">
        <v>426</v>
      </c>
      <c r="G142" s="2" t="s">
        <v>1099</v>
      </c>
      <c r="H142" s="1"/>
      <c r="I142" s="1" t="str">
        <f>Table1[[#This Row],[idh]]</f>
        <v>8C</v>
      </c>
      <c r="J142" s="1" t="str">
        <f>CONCATENATE("an",Table1[[#This Row],[name]],"_ID")</f>
        <v>anCarryHeliOpenR_ID</v>
      </c>
      <c r="K142" s="1" t="str">
        <f>CONCATENATE(Table1[[#This Row],[asm]]," = $",Table1[[#This Row],[idh]])</f>
        <v>anCarryHeliOpenR_ID = $8C</v>
      </c>
      <c r="L142" s="1" t="str">
        <f>CONCATENATE("animNames.append(""",Table1[[#This Row],[name]],""")")</f>
        <v>animNames.append("CarryHeliOpenR")</v>
      </c>
      <c r="M142" s="8" t="str">
        <f>CONCATENATE("reqSprBanks.append(0x",Table1[[#This Row],[imgbank]],")")</f>
        <v>reqSprBanks.append(0x04)</v>
      </c>
    </row>
    <row r="143" spans="1:13" x14ac:dyDescent="0.25">
      <c r="A143" s="1">
        <v>141</v>
      </c>
      <c r="B143" s="1" t="s">
        <v>1236</v>
      </c>
      <c r="C143" s="2" t="s">
        <v>333</v>
      </c>
      <c r="D143" s="1" t="s">
        <v>862</v>
      </c>
      <c r="E143" s="3" t="s">
        <v>576</v>
      </c>
      <c r="F143" s="1" t="s">
        <v>427</v>
      </c>
      <c r="G143" s="2" t="s">
        <v>1099</v>
      </c>
      <c r="H143" s="1"/>
      <c r="I143" s="1" t="str">
        <f>Table1[[#This Row],[idh]]</f>
        <v>8D</v>
      </c>
      <c r="J143" s="1" t="str">
        <f>CONCATENATE("an",Table1[[#This Row],[name]],"_ID")</f>
        <v>anFlarionShrunk_ID</v>
      </c>
      <c r="K143" s="1" t="str">
        <f>CONCATENATE(Table1[[#This Row],[asm]]," = $",Table1[[#This Row],[idh]])</f>
        <v>anFlarionShrunk_ID = $8D</v>
      </c>
      <c r="L143" s="1" t="str">
        <f>CONCATENATE("animNames.append(""",Table1[[#This Row],[name]],""")")</f>
        <v>animNames.append("FlarionShrunk")</v>
      </c>
      <c r="M143" s="8" t="str">
        <f>CONCATENATE("reqSprBanks.append(0x",Table1[[#This Row],[imgbank]],")")</f>
        <v>reqSprBanks.append(0x04)</v>
      </c>
    </row>
    <row r="144" spans="1:13" x14ac:dyDescent="0.25">
      <c r="A144" s="1">
        <v>142</v>
      </c>
      <c r="B144" s="1" t="s">
        <v>1237</v>
      </c>
      <c r="C144" s="2" t="s">
        <v>334</v>
      </c>
      <c r="D144" s="1" t="s">
        <v>863</v>
      </c>
      <c r="E144" s="3" t="s">
        <v>574</v>
      </c>
      <c r="F144" s="1" t="s">
        <v>427</v>
      </c>
      <c r="G144" s="2" t="s">
        <v>1099</v>
      </c>
      <c r="H144" s="1"/>
      <c r="I144" s="1" t="str">
        <f>Table1[[#This Row],[idh]]</f>
        <v>8E</v>
      </c>
      <c r="J144" s="1" t="str">
        <f>CONCATENATE("an",Table1[[#This Row],[name]],"_ID")</f>
        <v>anFlarionSmall_ID</v>
      </c>
      <c r="K144" s="1" t="str">
        <f>CONCATENATE(Table1[[#This Row],[asm]]," = $",Table1[[#This Row],[idh]])</f>
        <v>anFlarionSmall_ID = $8E</v>
      </c>
      <c r="L144" s="1" t="str">
        <f>CONCATENATE("animNames.append(""",Table1[[#This Row],[name]],""")")</f>
        <v>animNames.append("FlarionSmall")</v>
      </c>
      <c r="M144" s="8" t="str">
        <f>CONCATENATE("reqSprBanks.append(0x",Table1[[#This Row],[imgbank]],")")</f>
        <v>reqSprBanks.append(0x04)</v>
      </c>
    </row>
    <row r="145" spans="1:13" x14ac:dyDescent="0.25">
      <c r="A145" s="1">
        <v>143</v>
      </c>
      <c r="B145" s="1" t="s">
        <v>1238</v>
      </c>
      <c r="C145" s="2" t="s">
        <v>335</v>
      </c>
      <c r="D145" s="1" t="s">
        <v>864</v>
      </c>
      <c r="E145" s="3" t="s">
        <v>575</v>
      </c>
      <c r="F145" s="1" t="s">
        <v>427</v>
      </c>
      <c r="G145" s="2" t="s">
        <v>1099</v>
      </c>
      <c r="H145" s="1"/>
      <c r="I145" s="1" t="str">
        <f>Table1[[#This Row],[idh]]</f>
        <v>8F</v>
      </c>
      <c r="J145" s="1" t="str">
        <f>CONCATENATE("an",Table1[[#This Row],[name]],"_ID")</f>
        <v>anFlarionSmaller_ID</v>
      </c>
      <c r="K145" s="1" t="str">
        <f>CONCATENATE(Table1[[#This Row],[asm]]," = $",Table1[[#This Row],[idh]])</f>
        <v>anFlarionSmaller_ID = $8F</v>
      </c>
      <c r="L145" s="1" t="str">
        <f>CONCATENATE("animNames.append(""",Table1[[#This Row],[name]],""")")</f>
        <v>animNames.append("FlarionSmaller")</v>
      </c>
      <c r="M145" s="8" t="str">
        <f>CONCATENATE("reqSprBanks.append(0x",Table1[[#This Row],[imgbank]],")")</f>
        <v>reqSprBanks.append(0x04)</v>
      </c>
    </row>
    <row r="146" spans="1:13" x14ac:dyDescent="0.25">
      <c r="A146" s="1">
        <v>144</v>
      </c>
      <c r="B146" s="1" t="s">
        <v>1239</v>
      </c>
      <c r="C146" s="2" t="s">
        <v>87</v>
      </c>
      <c r="D146" s="1" t="s">
        <v>865</v>
      </c>
      <c r="E146" s="3" t="s">
        <v>577</v>
      </c>
      <c r="F146" s="1" t="s">
        <v>427</v>
      </c>
      <c r="G146" s="2" t="s">
        <v>1099</v>
      </c>
      <c r="H146" s="1"/>
      <c r="I146" s="1" t="str">
        <f>Table1[[#This Row],[idh]]</f>
        <v>90</v>
      </c>
      <c r="J146" s="1" t="str">
        <f>CONCATENATE("an",Table1[[#This Row],[name]],"_ID")</f>
        <v>anFlarionSmallest_ID</v>
      </c>
      <c r="K146" s="1" t="str">
        <f>CONCATENATE(Table1[[#This Row],[asm]]," = $",Table1[[#This Row],[idh]])</f>
        <v>anFlarionSmallest_ID = $90</v>
      </c>
      <c r="L146" s="1" t="str">
        <f>CONCATENATE("animNames.append(""",Table1[[#This Row],[name]],""")")</f>
        <v>animNames.append("FlarionSmallest")</v>
      </c>
      <c r="M146" s="8" t="str">
        <f>CONCATENATE("reqSprBanks.append(0x",Table1[[#This Row],[imgbank]],")")</f>
        <v>reqSprBanks.append(0x04)</v>
      </c>
    </row>
    <row r="147" spans="1:13" x14ac:dyDescent="0.25">
      <c r="A147" s="1">
        <v>145</v>
      </c>
      <c r="B147" s="1" t="s">
        <v>1240</v>
      </c>
      <c r="C147" s="2" t="s">
        <v>336</v>
      </c>
      <c r="D147" s="1" t="s">
        <v>866</v>
      </c>
      <c r="E147" s="3" t="s">
        <v>578</v>
      </c>
      <c r="F147" s="1" t="s">
        <v>428</v>
      </c>
      <c r="G147" s="2" t="s">
        <v>1099</v>
      </c>
      <c r="H147" s="1"/>
      <c r="I147" s="1" t="str">
        <f>Table1[[#This Row],[idh]]</f>
        <v>91</v>
      </c>
      <c r="J147" s="1" t="str">
        <f>CONCATENATE("an",Table1[[#This Row],[name]],"_ID")</f>
        <v>anManticharAngryL_ID</v>
      </c>
      <c r="K147" s="1" t="str">
        <f>CONCATENATE(Table1[[#This Row],[asm]]," = $",Table1[[#This Row],[idh]])</f>
        <v>anManticharAngryL_ID = $91</v>
      </c>
      <c r="L147" s="1" t="str">
        <f>CONCATENATE("animNames.append(""",Table1[[#This Row],[name]],""")")</f>
        <v>animNames.append("ManticharAngryL")</v>
      </c>
      <c r="M147" s="8" t="str">
        <f>CONCATENATE("reqSprBanks.append(0x",Table1[[#This Row],[imgbank]],")")</f>
        <v>reqSprBanks.append(0x04)</v>
      </c>
    </row>
    <row r="148" spans="1:13" x14ac:dyDescent="0.25">
      <c r="A148" s="1">
        <v>146</v>
      </c>
      <c r="B148" s="1" t="s">
        <v>1241</v>
      </c>
      <c r="C148" s="2" t="s">
        <v>337</v>
      </c>
      <c r="D148" s="1" t="s">
        <v>867</v>
      </c>
      <c r="E148" s="3" t="s">
        <v>579</v>
      </c>
      <c r="F148" s="1" t="s">
        <v>428</v>
      </c>
      <c r="G148" s="2" t="s">
        <v>1099</v>
      </c>
      <c r="H148" s="1"/>
      <c r="I148" s="1" t="str">
        <f>Table1[[#This Row],[idh]]</f>
        <v>92</v>
      </c>
      <c r="J148" s="1" t="str">
        <f>CONCATENATE("an",Table1[[#This Row],[name]],"_ID")</f>
        <v>anManticharAngryR_ID</v>
      </c>
      <c r="K148" s="1" t="str">
        <f>CONCATENATE(Table1[[#This Row],[asm]]," = $",Table1[[#This Row],[idh]])</f>
        <v>anManticharAngryR_ID = $92</v>
      </c>
      <c r="L148" s="1" t="str">
        <f>CONCATENATE("animNames.append(""",Table1[[#This Row],[name]],""")")</f>
        <v>animNames.append("ManticharAngryR")</v>
      </c>
      <c r="M148" s="8" t="str">
        <f>CONCATENATE("reqSprBanks.append(0x",Table1[[#This Row],[imgbank]],")")</f>
        <v>reqSprBanks.append(0x04)</v>
      </c>
    </row>
    <row r="149" spans="1:13" x14ac:dyDescent="0.25">
      <c r="A149" s="1">
        <v>147</v>
      </c>
      <c r="B149" s="1" t="s">
        <v>1242</v>
      </c>
      <c r="C149" s="2" t="s">
        <v>338</v>
      </c>
      <c r="D149" s="1" t="s">
        <v>868</v>
      </c>
      <c r="E149" s="3" t="s">
        <v>580</v>
      </c>
      <c r="F149" s="1" t="s">
        <v>429</v>
      </c>
      <c r="G149" s="2" t="s">
        <v>1099</v>
      </c>
      <c r="H149" s="1"/>
      <c r="I149" s="1" t="str">
        <f>Table1[[#This Row],[idh]]</f>
        <v>93</v>
      </c>
      <c r="J149" s="1" t="str">
        <f>CONCATENATE("an",Table1[[#This Row],[name]],"_ID")</f>
        <v>anRoboZenShootL_ID</v>
      </c>
      <c r="K149" s="1" t="str">
        <f>CONCATENATE(Table1[[#This Row],[asm]]," = $",Table1[[#This Row],[idh]])</f>
        <v>anRoboZenShootL_ID = $93</v>
      </c>
      <c r="L149" s="1" t="str">
        <f>CONCATENATE("animNames.append(""",Table1[[#This Row],[name]],""")")</f>
        <v>animNames.append("RoboZenShootL")</v>
      </c>
      <c r="M149" s="8" t="str">
        <f>CONCATENATE("reqSprBanks.append(0x",Table1[[#This Row],[imgbank]],")")</f>
        <v>reqSprBanks.append(0x04)</v>
      </c>
    </row>
    <row r="150" spans="1:13" x14ac:dyDescent="0.25">
      <c r="A150" s="1">
        <v>148</v>
      </c>
      <c r="B150" s="1" t="s">
        <v>1243</v>
      </c>
      <c r="C150" s="2" t="s">
        <v>88</v>
      </c>
      <c r="D150" s="1" t="s">
        <v>869</v>
      </c>
      <c r="E150" s="3" t="s">
        <v>581</v>
      </c>
      <c r="F150" s="1" t="s">
        <v>429</v>
      </c>
      <c r="G150" s="2" t="s">
        <v>1099</v>
      </c>
      <c r="H150" s="1"/>
      <c r="I150" s="1" t="str">
        <f>Table1[[#This Row],[idh]]</f>
        <v>94</v>
      </c>
      <c r="J150" s="1" t="str">
        <f>CONCATENATE("an",Table1[[#This Row],[name]],"_ID")</f>
        <v>anRoboZenShootR_ID</v>
      </c>
      <c r="K150" s="1" t="str">
        <f>CONCATENATE(Table1[[#This Row],[asm]]," = $",Table1[[#This Row],[idh]])</f>
        <v>anRoboZenShootR_ID = $94</v>
      </c>
      <c r="L150" s="1" t="str">
        <f>CONCATENATE("animNames.append(""",Table1[[#This Row],[name]],""")")</f>
        <v>animNames.append("RoboZenShootR")</v>
      </c>
      <c r="M150" s="8" t="str">
        <f>CONCATENATE("reqSprBanks.append(0x",Table1[[#This Row],[imgbank]],")")</f>
        <v>reqSprBanks.append(0x04)</v>
      </c>
    </row>
    <row r="151" spans="1:13" x14ac:dyDescent="0.25">
      <c r="A151" s="1">
        <v>149</v>
      </c>
      <c r="B151" s="1" t="s">
        <v>1244</v>
      </c>
      <c r="C151" s="2" t="s">
        <v>339</v>
      </c>
      <c r="D151" s="1" t="s">
        <v>870</v>
      </c>
      <c r="E151" s="3" t="s">
        <v>582</v>
      </c>
      <c r="F151" s="1" t="s">
        <v>438</v>
      </c>
      <c r="G151" s="2" t="s">
        <v>1099</v>
      </c>
      <c r="H151" s="1"/>
      <c r="I151" s="1" t="str">
        <f>Table1[[#This Row],[idh]]</f>
        <v>95</v>
      </c>
      <c r="J151" s="1" t="str">
        <f>CONCATENATE("an",Table1[[#This Row],[name]],"_ID")</f>
        <v>anRoboZenWindingL_ID</v>
      </c>
      <c r="K151" s="1" t="str">
        <f>CONCATENATE(Table1[[#This Row],[asm]]," = $",Table1[[#This Row],[idh]])</f>
        <v>anRoboZenWindingL_ID = $95</v>
      </c>
      <c r="L151" s="1" t="str">
        <f>CONCATENATE("animNames.append(""",Table1[[#This Row],[name]],""")")</f>
        <v>animNames.append("RoboZenWindingL")</v>
      </c>
      <c r="M151" s="8" t="str">
        <f>CONCATENATE("reqSprBanks.append(0x",Table1[[#This Row],[imgbank]],")")</f>
        <v>reqSprBanks.append(0x04)</v>
      </c>
    </row>
    <row r="152" spans="1:13" x14ac:dyDescent="0.25">
      <c r="A152" s="1">
        <v>150</v>
      </c>
      <c r="B152" s="1" t="s">
        <v>1245</v>
      </c>
      <c r="C152" s="2" t="s">
        <v>340</v>
      </c>
      <c r="D152" s="1" t="s">
        <v>871</v>
      </c>
      <c r="E152" s="3" t="s">
        <v>583</v>
      </c>
      <c r="F152" s="1" t="s">
        <v>438</v>
      </c>
      <c r="G152" s="2" t="s">
        <v>1099</v>
      </c>
      <c r="H152" s="1"/>
      <c r="I152" s="1" t="str">
        <f>Table1[[#This Row],[idh]]</f>
        <v>96</v>
      </c>
      <c r="J152" s="1" t="str">
        <f>CONCATENATE("an",Table1[[#This Row],[name]],"_ID")</f>
        <v>anRoboZenWindingR_ID</v>
      </c>
      <c r="K152" s="1" t="str">
        <f>CONCATENATE(Table1[[#This Row],[asm]]," = $",Table1[[#This Row],[idh]])</f>
        <v>anRoboZenWindingR_ID = $96</v>
      </c>
      <c r="L152" s="1" t="str">
        <f>CONCATENATE("animNames.append(""",Table1[[#This Row],[name]],""")")</f>
        <v>animNames.append("RoboZenWindingR")</v>
      </c>
      <c r="M152" s="8" t="str">
        <f>CONCATENATE("reqSprBanks.append(0x",Table1[[#This Row],[imgbank]],")")</f>
        <v>reqSprBanks.append(0x04)</v>
      </c>
    </row>
    <row r="153" spans="1:13" x14ac:dyDescent="0.25">
      <c r="A153" s="1">
        <v>151</v>
      </c>
      <c r="B153" s="1" t="s">
        <v>1246</v>
      </c>
      <c r="C153" s="2" t="s">
        <v>89</v>
      </c>
      <c r="D153" s="4" t="s">
        <v>1523</v>
      </c>
      <c r="E153" s="3" t="s">
        <v>1525</v>
      </c>
      <c r="F153" s="1" t="s">
        <v>401</v>
      </c>
      <c r="G153" s="2" t="s">
        <v>1099</v>
      </c>
      <c r="H153" s="1"/>
      <c r="I153" s="1" t="str">
        <f>Table1[[#This Row],[idh]]</f>
        <v>97</v>
      </c>
      <c r="J153" s="1" t="str">
        <f>CONCATENATE("an",Table1[[#This Row],[name]],"_ID")</f>
        <v>anHandWindingL_ID</v>
      </c>
      <c r="K153" s="1" t="str">
        <f>CONCATENATE(Table1[[#This Row],[asm]]," = $",Table1[[#This Row],[idh]])</f>
        <v>anHandWindingL_ID = $97</v>
      </c>
      <c r="L153" s="1" t="str">
        <f>CONCATENATE("animNames.append(""",Table1[[#This Row],[name]],""")")</f>
        <v>animNames.append("HandWindingL")</v>
      </c>
      <c r="M153" s="8" t="str">
        <f>CONCATENATE("reqSprBanks.append(0x",Table1[[#This Row],[imgbank]],")")</f>
        <v>reqSprBanks.append(0x04)</v>
      </c>
    </row>
    <row r="154" spans="1:13" x14ac:dyDescent="0.25">
      <c r="A154" s="1">
        <v>152</v>
      </c>
      <c r="B154" s="1" t="s">
        <v>1247</v>
      </c>
      <c r="C154" s="2" t="s">
        <v>90</v>
      </c>
      <c r="D154" s="4" t="s">
        <v>1524</v>
      </c>
      <c r="E154" s="3" t="s">
        <v>1525</v>
      </c>
      <c r="F154" s="1" t="s">
        <v>401</v>
      </c>
      <c r="G154" s="2" t="s">
        <v>1099</v>
      </c>
      <c r="H154" s="1"/>
      <c r="I154" s="1" t="str">
        <f>Table1[[#This Row],[idh]]</f>
        <v>98</v>
      </c>
      <c r="J154" s="1" t="str">
        <f>CONCATENATE("an",Table1[[#This Row],[name]],"_ID")</f>
        <v>anHandWindingR_ID</v>
      </c>
      <c r="K154" s="1" t="str">
        <f>CONCATENATE(Table1[[#This Row],[asm]]," = $",Table1[[#This Row],[idh]])</f>
        <v>anHandWindingR_ID = $98</v>
      </c>
      <c r="L154" s="1" t="str">
        <f>CONCATENATE("animNames.append(""",Table1[[#This Row],[name]],""")")</f>
        <v>animNames.append("HandWindingR")</v>
      </c>
      <c r="M154" s="8" t="str">
        <f>CONCATENATE("reqSprBanks.append(0x",Table1[[#This Row],[imgbank]],")")</f>
        <v>reqSprBanks.append(0x04)</v>
      </c>
    </row>
    <row r="155" spans="1:13" x14ac:dyDescent="0.25">
      <c r="A155" s="1">
        <v>153</v>
      </c>
      <c r="B155" s="1" t="s">
        <v>1248</v>
      </c>
      <c r="C155" s="2" t="s">
        <v>91</v>
      </c>
      <c r="D155" s="1" t="s">
        <v>872</v>
      </c>
      <c r="E155" s="3" t="s">
        <v>585</v>
      </c>
      <c r="F155" s="1" t="s">
        <v>430</v>
      </c>
      <c r="G155" s="2" t="s">
        <v>1099</v>
      </c>
      <c r="H155" s="1"/>
      <c r="I155" s="1" t="str">
        <f>Table1[[#This Row],[idh]]</f>
        <v>99</v>
      </c>
      <c r="J155" s="1" t="str">
        <f>CONCATENATE("an",Table1[[#This Row],[name]],"_ID")</f>
        <v>anKirikabunBlink_ID</v>
      </c>
      <c r="K155" s="1" t="str">
        <f>CONCATENATE(Table1[[#This Row],[asm]]," = $",Table1[[#This Row],[idh]])</f>
        <v>anKirikabunBlink_ID = $99</v>
      </c>
      <c r="L155" s="1" t="str">
        <f>CONCATENATE("animNames.append(""",Table1[[#This Row],[name]],""")")</f>
        <v>animNames.append("KirikabunBlink")</v>
      </c>
      <c r="M155" s="8" t="str">
        <f>CONCATENATE("reqSprBanks.append(0x",Table1[[#This Row],[imgbank]],")")</f>
        <v>reqSprBanks.append(0x04)</v>
      </c>
    </row>
    <row r="156" spans="1:13" x14ac:dyDescent="0.25">
      <c r="A156" s="1">
        <v>154</v>
      </c>
      <c r="B156" s="1" t="s">
        <v>1249</v>
      </c>
      <c r="C156" s="2" t="s">
        <v>92</v>
      </c>
      <c r="D156" s="1" t="s">
        <v>873</v>
      </c>
      <c r="E156" s="3" t="s">
        <v>586</v>
      </c>
      <c r="F156" s="1" t="s">
        <v>423</v>
      </c>
      <c r="G156" s="2" t="s">
        <v>1099</v>
      </c>
      <c r="H156" s="1"/>
      <c r="I156" s="1" t="str">
        <f>Table1[[#This Row],[idh]]</f>
        <v>9A</v>
      </c>
      <c r="J156" s="1" t="str">
        <f>CONCATENATE("an",Table1[[#This Row],[name]],"_ID")</f>
        <v>anPulpulBlink_ID</v>
      </c>
      <c r="K156" s="1" t="str">
        <f>CONCATENATE(Table1[[#This Row],[asm]]," = $",Table1[[#This Row],[idh]])</f>
        <v>anPulpulBlink_ID = $9A</v>
      </c>
      <c r="L156" s="1" t="str">
        <f>CONCATENATE("animNames.append(""",Table1[[#This Row],[name]],""")")</f>
        <v>animNames.append("PulpulBlink")</v>
      </c>
      <c r="M156" s="8" t="str">
        <f>CONCATENATE("reqSprBanks.append(0x",Table1[[#This Row],[imgbank]],")")</f>
        <v>reqSprBanks.append(0x04)</v>
      </c>
    </row>
    <row r="157" spans="1:13" x14ac:dyDescent="0.25">
      <c r="A157" s="1">
        <v>155</v>
      </c>
      <c r="B157" s="1" t="s">
        <v>1250</v>
      </c>
      <c r="C157" s="2" t="s">
        <v>93</v>
      </c>
      <c r="D157" s="1" t="s">
        <v>884</v>
      </c>
      <c r="E157" s="3" t="s">
        <v>587</v>
      </c>
      <c r="F157" s="1" t="s">
        <v>433</v>
      </c>
      <c r="G157" s="2" t="s">
        <v>1099</v>
      </c>
      <c r="H157" s="1"/>
      <c r="I157" s="1" t="str">
        <f>Table1[[#This Row],[idh]]</f>
        <v>9B</v>
      </c>
      <c r="J157" s="1" t="str">
        <f>CONCATENATE("an",Table1[[#This Row],[name]],"_ID")</f>
        <v>anDOHDie_ID</v>
      </c>
      <c r="K157" s="1" t="str">
        <f>CONCATENATE(Table1[[#This Row],[asm]]," = $",Table1[[#This Row],[idh]])</f>
        <v>anDOHDie_ID = $9B</v>
      </c>
      <c r="L157" s="1" t="str">
        <f>CONCATENATE("animNames.append(""",Table1[[#This Row],[name]],""")")</f>
        <v>animNames.append("DOHDie")</v>
      </c>
      <c r="M157" s="8" t="str">
        <f>CONCATENATE("reqSprBanks.append(0x",Table1[[#This Row],[imgbank]],")")</f>
        <v>reqSprBanks.append(0x04)</v>
      </c>
    </row>
    <row r="158" spans="1:13" x14ac:dyDescent="0.25">
      <c r="A158" s="1">
        <v>156</v>
      </c>
      <c r="B158" s="1" t="s">
        <v>1251</v>
      </c>
      <c r="C158" s="2" t="s">
        <v>94</v>
      </c>
      <c r="D158" s="1" t="s">
        <v>431</v>
      </c>
      <c r="E158" s="3" t="s">
        <v>431</v>
      </c>
      <c r="F158" s="1" t="s">
        <v>431</v>
      </c>
      <c r="G158" s="2" t="s">
        <v>1099</v>
      </c>
      <c r="H158" s="1"/>
      <c r="I158" s="1" t="str">
        <f>Table1[[#This Row],[idh]]</f>
        <v>9C</v>
      </c>
      <c r="J158" s="1" t="str">
        <f>CONCATENATE("an",Table1[[#This Row],[name]],"_ID")</f>
        <v>anTwizzer_ID</v>
      </c>
      <c r="K158" s="1" t="str">
        <f>CONCATENATE(Table1[[#This Row],[asm]]," = $",Table1[[#This Row],[idh]])</f>
        <v>anTwizzer_ID = $9C</v>
      </c>
      <c r="L158" s="1" t="str">
        <f>CONCATENATE("animNames.append(""",Table1[[#This Row],[name]],""")")</f>
        <v>animNames.append("Twizzer")</v>
      </c>
      <c r="M158" s="8" t="str">
        <f>CONCATENATE("reqSprBanks.append(0x",Table1[[#This Row],[imgbank]],")")</f>
        <v>reqSprBanks.append(0x04)</v>
      </c>
    </row>
    <row r="159" spans="1:13" x14ac:dyDescent="0.25">
      <c r="A159" s="1">
        <v>157</v>
      </c>
      <c r="B159" s="1" t="s">
        <v>1252</v>
      </c>
      <c r="C159" s="2" t="s">
        <v>95</v>
      </c>
      <c r="D159" s="1" t="s">
        <v>874</v>
      </c>
      <c r="E159" s="3" t="s">
        <v>589</v>
      </c>
      <c r="F159" s="1" t="s">
        <v>434</v>
      </c>
      <c r="G159" s="2" t="s">
        <v>1099</v>
      </c>
      <c r="H159" s="1"/>
      <c r="I159" s="1" t="str">
        <f>Table1[[#This Row],[idh]]</f>
        <v>9D</v>
      </c>
      <c r="J159" s="1" t="str">
        <f>CONCATENATE("an",Table1[[#This Row],[name]],"_ID")</f>
        <v>anDrunkThrowL_ID</v>
      </c>
      <c r="K159" s="1" t="str">
        <f>CONCATENATE(Table1[[#This Row],[asm]]," = $",Table1[[#This Row],[idh]])</f>
        <v>anDrunkThrowL_ID = $9D</v>
      </c>
      <c r="L159" s="1" t="str">
        <f>CONCATENATE("animNames.append(""",Table1[[#This Row],[name]],""")")</f>
        <v>animNames.append("DrunkThrowL")</v>
      </c>
      <c r="M159" s="8" t="str">
        <f>CONCATENATE("reqSprBanks.append(0x",Table1[[#This Row],[imgbank]],")")</f>
        <v>reqSprBanks.append(0x04)</v>
      </c>
    </row>
    <row r="160" spans="1:13" x14ac:dyDescent="0.25">
      <c r="A160" s="1">
        <v>158</v>
      </c>
      <c r="B160" s="1" t="s">
        <v>1253</v>
      </c>
      <c r="C160" s="2" t="s">
        <v>341</v>
      </c>
      <c r="D160" s="1" t="s">
        <v>875</v>
      </c>
      <c r="E160" s="3" t="s">
        <v>590</v>
      </c>
      <c r="F160" s="1" t="s">
        <v>434</v>
      </c>
      <c r="G160" s="2" t="s">
        <v>1099</v>
      </c>
      <c r="H160" s="1"/>
      <c r="I160" s="1" t="str">
        <f>Table1[[#This Row],[idh]]</f>
        <v>9E</v>
      </c>
      <c r="J160" s="1" t="str">
        <f>CONCATENATE("an",Table1[[#This Row],[name]],"_ID")</f>
        <v>anDrunkThrowR_ID</v>
      </c>
      <c r="K160" s="1" t="str">
        <f>CONCATENATE(Table1[[#This Row],[asm]]," = $",Table1[[#This Row],[idh]])</f>
        <v>anDrunkThrowR_ID = $9E</v>
      </c>
      <c r="L160" s="1" t="str">
        <f>CONCATENATE("animNames.append(""",Table1[[#This Row],[name]],""")")</f>
        <v>animNames.append("DrunkThrowR")</v>
      </c>
      <c r="M160" s="8" t="str">
        <f>CONCATENATE("reqSprBanks.append(0x",Table1[[#This Row],[imgbank]],")")</f>
        <v>reqSprBanks.append(0x04)</v>
      </c>
    </row>
    <row r="161" spans="1:13" x14ac:dyDescent="0.25">
      <c r="A161" s="1">
        <v>159</v>
      </c>
      <c r="B161" s="1" t="s">
        <v>1254</v>
      </c>
      <c r="C161" s="2" t="s">
        <v>342</v>
      </c>
      <c r="D161" s="1" t="s">
        <v>885</v>
      </c>
      <c r="E161" s="3" t="s">
        <v>591</v>
      </c>
      <c r="F161" s="1" t="s">
        <v>417</v>
      </c>
      <c r="G161" s="2" t="s">
        <v>1099</v>
      </c>
      <c r="H161" s="1"/>
      <c r="I161" s="1" t="str">
        <f>Table1[[#This Row],[idh]]</f>
        <v>9F</v>
      </c>
      <c r="J161" s="1" t="str">
        <f>CONCATENATE("an",Table1[[#This Row],[name]],"_ID")</f>
        <v>anZenChanDie_ID</v>
      </c>
      <c r="K161" s="1" t="str">
        <f>CONCATENATE(Table1[[#This Row],[asm]]," = $",Table1[[#This Row],[idh]])</f>
        <v>anZenChanDie_ID = $9F</v>
      </c>
      <c r="L161" s="1" t="str">
        <f>CONCATENATE("animNames.append(""",Table1[[#This Row],[name]],""")")</f>
        <v>animNames.append("ZenChanDie")</v>
      </c>
      <c r="M161" s="8" t="str">
        <f>CONCATENATE("reqSprBanks.append(0x",Table1[[#This Row],[imgbank]],")")</f>
        <v>reqSprBanks.append(0x04)</v>
      </c>
    </row>
    <row r="162" spans="1:13" x14ac:dyDescent="0.25">
      <c r="A162" s="1">
        <v>160</v>
      </c>
      <c r="B162" s="1" t="s">
        <v>1255</v>
      </c>
      <c r="C162" s="2" t="s">
        <v>96</v>
      </c>
      <c r="D162" s="1" t="s">
        <v>886</v>
      </c>
      <c r="E162" s="3" t="s">
        <v>592</v>
      </c>
      <c r="F162" s="1" t="s">
        <v>418</v>
      </c>
      <c r="G162" s="2" t="s">
        <v>1099</v>
      </c>
      <c r="H162" s="1"/>
      <c r="I162" s="1" t="str">
        <f>Table1[[#This Row],[idh]]</f>
        <v>A0</v>
      </c>
      <c r="J162" s="1" t="str">
        <f>CONCATENATE("an",Table1[[#This Row],[name]],"_ID")</f>
        <v>anMonstaDie_ID</v>
      </c>
      <c r="K162" s="1" t="str">
        <f>CONCATENATE(Table1[[#This Row],[asm]]," = $",Table1[[#This Row],[idh]])</f>
        <v>anMonstaDie_ID = $A0</v>
      </c>
      <c r="L162" s="1" t="str">
        <f>CONCATENATE("animNames.append(""",Table1[[#This Row],[name]],""")")</f>
        <v>animNames.append("MonstaDie")</v>
      </c>
      <c r="M162" s="8" t="str">
        <f>CONCATENATE("reqSprBanks.append(0x",Table1[[#This Row],[imgbank]],")")</f>
        <v>reqSprBanks.append(0x04)</v>
      </c>
    </row>
    <row r="163" spans="1:13" x14ac:dyDescent="0.25">
      <c r="A163" s="1">
        <v>161</v>
      </c>
      <c r="B163" s="1" t="s">
        <v>1256</v>
      </c>
      <c r="C163" s="2" t="s">
        <v>97</v>
      </c>
      <c r="D163" s="1" t="s">
        <v>887</v>
      </c>
      <c r="E163" s="3" t="s">
        <v>593</v>
      </c>
      <c r="F163" s="1" t="s">
        <v>419</v>
      </c>
      <c r="G163" s="2" t="s">
        <v>1099</v>
      </c>
      <c r="H163" s="1"/>
      <c r="I163" s="1" t="str">
        <f>Table1[[#This Row],[idh]]</f>
        <v>A1</v>
      </c>
      <c r="J163" s="1" t="str">
        <f>CONCATENATE("an",Table1[[#This Row],[name]],"_ID")</f>
        <v>anNeedlerDie_ID</v>
      </c>
      <c r="K163" s="1" t="str">
        <f>CONCATENATE(Table1[[#This Row],[asm]]," = $",Table1[[#This Row],[idh]])</f>
        <v>anNeedlerDie_ID = $A1</v>
      </c>
      <c r="L163" s="1" t="str">
        <f>CONCATENATE("animNames.append(""",Table1[[#This Row],[name]],""")")</f>
        <v>animNames.append("NeedlerDie")</v>
      </c>
      <c r="M163" s="8" t="str">
        <f>CONCATENATE("reqSprBanks.append(0x",Table1[[#This Row],[imgbank]],")")</f>
        <v>reqSprBanks.append(0x04)</v>
      </c>
    </row>
    <row r="164" spans="1:13" x14ac:dyDescent="0.25">
      <c r="A164" s="1">
        <v>162</v>
      </c>
      <c r="B164" s="1" t="s">
        <v>1257</v>
      </c>
      <c r="C164" s="2" t="s">
        <v>98</v>
      </c>
      <c r="D164" s="1" t="s">
        <v>888</v>
      </c>
      <c r="E164" s="3" t="s">
        <v>594</v>
      </c>
      <c r="F164" s="1" t="s">
        <v>421</v>
      </c>
      <c r="G164" s="2" t="s">
        <v>1099</v>
      </c>
      <c r="H164" s="1"/>
      <c r="I164" s="1" t="str">
        <f>Table1[[#This Row],[idh]]</f>
        <v>A2</v>
      </c>
      <c r="J164" s="1" t="str">
        <f>CONCATENATE("an",Table1[[#This Row],[name]],"_ID")</f>
        <v>anBanebouDie_ID</v>
      </c>
      <c r="K164" s="1" t="str">
        <f>CONCATENATE(Table1[[#This Row],[asm]]," = $",Table1[[#This Row],[idh]])</f>
        <v>anBanebouDie_ID = $A2</v>
      </c>
      <c r="L164" s="1" t="str">
        <f>CONCATENATE("animNames.append(""",Table1[[#This Row],[name]],""")")</f>
        <v>animNames.append("BanebouDie")</v>
      </c>
      <c r="M164" s="8" t="str">
        <f>CONCATENATE("reqSprBanks.append(0x",Table1[[#This Row],[imgbank]],")")</f>
        <v>reqSprBanks.append(0x04)</v>
      </c>
    </row>
    <row r="165" spans="1:13" x14ac:dyDescent="0.25">
      <c r="A165" s="1">
        <v>163</v>
      </c>
      <c r="B165" s="1" t="s">
        <v>1258</v>
      </c>
      <c r="C165" s="2" t="s">
        <v>99</v>
      </c>
      <c r="D165" s="1" t="s">
        <v>889</v>
      </c>
      <c r="E165" s="3" t="s">
        <v>595</v>
      </c>
      <c r="F165" s="1" t="s">
        <v>422</v>
      </c>
      <c r="G165" s="2" t="s">
        <v>1099</v>
      </c>
      <c r="H165" s="1"/>
      <c r="I165" s="1" t="str">
        <f>Table1[[#This Row],[idh]]</f>
        <v>A3</v>
      </c>
      <c r="J165" s="1" t="str">
        <f>CONCATENATE("an",Table1[[#This Row],[name]],"_ID")</f>
        <v>anBlobbyDie_ID</v>
      </c>
      <c r="K165" s="1" t="str">
        <f>CONCATENATE(Table1[[#This Row],[asm]]," = $",Table1[[#This Row],[idh]])</f>
        <v>anBlobbyDie_ID = $A3</v>
      </c>
      <c r="L165" s="1" t="str">
        <f>CONCATENATE("animNames.append(""",Table1[[#This Row],[name]],""")")</f>
        <v>animNames.append("BlobbyDie")</v>
      </c>
      <c r="M165" s="8" t="str">
        <f>CONCATENATE("reqSprBanks.append(0x",Table1[[#This Row],[imgbank]],")")</f>
        <v>reqSprBanks.append(0x04)</v>
      </c>
    </row>
    <row r="166" spans="1:13" x14ac:dyDescent="0.25">
      <c r="A166" s="1">
        <v>164</v>
      </c>
      <c r="B166" s="1" t="s">
        <v>1259</v>
      </c>
      <c r="C166" s="2" t="s">
        <v>100</v>
      </c>
      <c r="D166" s="1" t="s">
        <v>890</v>
      </c>
      <c r="E166" s="3" t="s">
        <v>596</v>
      </c>
      <c r="F166" s="1" t="s">
        <v>423</v>
      </c>
      <c r="G166" s="2" t="s">
        <v>1099</v>
      </c>
      <c r="H166" s="1"/>
      <c r="I166" s="1" t="str">
        <f>Table1[[#This Row],[idh]]</f>
        <v>A4</v>
      </c>
      <c r="J166" s="1" t="str">
        <f>CONCATENATE("an",Table1[[#This Row],[name]],"_ID")</f>
        <v>anPulpulDie_ID</v>
      </c>
      <c r="K166" s="1" t="str">
        <f>CONCATENATE(Table1[[#This Row],[asm]]," = $",Table1[[#This Row],[idh]])</f>
        <v>anPulpulDie_ID = $A4</v>
      </c>
      <c r="L166" s="1" t="str">
        <f>CONCATENATE("animNames.append(""",Table1[[#This Row],[name]],""")")</f>
        <v>animNames.append("PulpulDie")</v>
      </c>
      <c r="M166" s="8" t="str">
        <f>CONCATENATE("reqSprBanks.append(0x",Table1[[#This Row],[imgbank]],")")</f>
        <v>reqSprBanks.append(0x04)</v>
      </c>
    </row>
    <row r="167" spans="1:13" x14ac:dyDescent="0.25">
      <c r="A167" s="1">
        <v>165</v>
      </c>
      <c r="B167" s="1" t="s">
        <v>1260</v>
      </c>
      <c r="C167" s="2" t="s">
        <v>101</v>
      </c>
      <c r="D167" s="1" t="s">
        <v>891</v>
      </c>
      <c r="E167" s="3" t="s">
        <v>597</v>
      </c>
      <c r="F167" s="1" t="s">
        <v>424</v>
      </c>
      <c r="G167" s="2" t="s">
        <v>1099</v>
      </c>
      <c r="H167" s="1"/>
      <c r="I167" s="1" t="str">
        <f>Table1[[#This Row],[idh]]</f>
        <v>A5</v>
      </c>
      <c r="J167" s="1" t="str">
        <f>CONCATENATE("an",Table1[[#This Row],[name]],"_ID")</f>
        <v>anInvaderDie_ID</v>
      </c>
      <c r="K167" s="1" t="str">
        <f>CONCATENATE(Table1[[#This Row],[asm]]," = $",Table1[[#This Row],[idh]])</f>
        <v>anInvaderDie_ID = $A5</v>
      </c>
      <c r="L167" s="1" t="str">
        <f>CONCATENATE("animNames.append(""",Table1[[#This Row],[name]],""")")</f>
        <v>animNames.append("InvaderDie")</v>
      </c>
      <c r="M167" s="8" t="str">
        <f>CONCATENATE("reqSprBanks.append(0x",Table1[[#This Row],[imgbank]],")")</f>
        <v>reqSprBanks.append(0x04)</v>
      </c>
    </row>
    <row r="168" spans="1:13" x14ac:dyDescent="0.25">
      <c r="A168" s="1">
        <v>166</v>
      </c>
      <c r="B168" s="1" t="s">
        <v>1261</v>
      </c>
      <c r="C168" s="2" t="s">
        <v>102</v>
      </c>
      <c r="D168" s="1" t="s">
        <v>892</v>
      </c>
      <c r="E168" s="3" t="s">
        <v>598</v>
      </c>
      <c r="F168" s="1" t="s">
        <v>425</v>
      </c>
      <c r="G168" s="2" t="s">
        <v>1099</v>
      </c>
      <c r="H168" s="1"/>
      <c r="I168" s="1" t="str">
        <f>Table1[[#This Row],[idh]]</f>
        <v>A6</v>
      </c>
      <c r="J168" s="1" t="str">
        <f>CONCATENATE("an",Table1[[#This Row],[name]],"_ID")</f>
        <v>anHeitaiKunDie_ID</v>
      </c>
      <c r="K168" s="1" t="str">
        <f>CONCATENATE(Table1[[#This Row],[asm]]," = $",Table1[[#This Row],[idh]])</f>
        <v>anHeitaiKunDie_ID = $A6</v>
      </c>
      <c r="L168" s="1" t="str">
        <f>CONCATENATE("animNames.append(""",Table1[[#This Row],[name]],""")")</f>
        <v>animNames.append("HeitaiKunDie")</v>
      </c>
      <c r="M168" s="8" t="str">
        <f>CONCATENATE("reqSprBanks.append(0x",Table1[[#This Row],[imgbank]],")")</f>
        <v>reqSprBanks.append(0x04)</v>
      </c>
    </row>
    <row r="169" spans="1:13" x14ac:dyDescent="0.25">
      <c r="A169" s="1">
        <v>167</v>
      </c>
      <c r="B169" s="1" t="s">
        <v>1262</v>
      </c>
      <c r="C169" s="2" t="s">
        <v>103</v>
      </c>
      <c r="D169" s="1" t="s">
        <v>876</v>
      </c>
      <c r="E169" s="3" t="s">
        <v>599</v>
      </c>
      <c r="F169" s="1" t="s">
        <v>426</v>
      </c>
      <c r="G169" s="2" t="s">
        <v>1099</v>
      </c>
      <c r="H169" s="1"/>
      <c r="I169" s="1" t="str">
        <f>Table1[[#This Row],[idh]]</f>
        <v>A7</v>
      </c>
      <c r="J169" s="1" t="str">
        <f>CONCATENATE("an",Table1[[#This Row],[name]],"_ID")</f>
        <v>anCarryHeliDieL_ID</v>
      </c>
      <c r="K169" s="1" t="str">
        <f>CONCATENATE(Table1[[#This Row],[asm]]," = $",Table1[[#This Row],[idh]])</f>
        <v>anCarryHeliDieL_ID = $A7</v>
      </c>
      <c r="L169" s="1" t="str">
        <f>CONCATENATE("animNames.append(""",Table1[[#This Row],[name]],""")")</f>
        <v>animNames.append("CarryHeliDieL")</v>
      </c>
      <c r="M169" s="8" t="str">
        <f>CONCATENATE("reqSprBanks.append(0x",Table1[[#This Row],[imgbank]],")")</f>
        <v>reqSprBanks.append(0x04)</v>
      </c>
    </row>
    <row r="170" spans="1:13" x14ac:dyDescent="0.25">
      <c r="A170" s="1">
        <v>168</v>
      </c>
      <c r="B170" s="1" t="s">
        <v>1263</v>
      </c>
      <c r="C170" s="2" t="s">
        <v>104</v>
      </c>
      <c r="D170" s="1" t="s">
        <v>877</v>
      </c>
      <c r="E170" s="3" t="s">
        <v>600</v>
      </c>
      <c r="F170" s="1" t="s">
        <v>426</v>
      </c>
      <c r="G170" s="2" t="s">
        <v>1099</v>
      </c>
      <c r="H170" s="1"/>
      <c r="I170" s="1" t="str">
        <f>Table1[[#This Row],[idh]]</f>
        <v>A8</v>
      </c>
      <c r="J170" s="1" t="str">
        <f>CONCATENATE("an",Table1[[#This Row],[name]],"_ID")</f>
        <v>anCarryHeliDieR_ID</v>
      </c>
      <c r="K170" s="1" t="str">
        <f>CONCATENATE(Table1[[#This Row],[asm]]," = $",Table1[[#This Row],[idh]])</f>
        <v>anCarryHeliDieR_ID = $A8</v>
      </c>
      <c r="L170" s="1" t="str">
        <f>CONCATENATE("animNames.append(""",Table1[[#This Row],[name]],""")")</f>
        <v>animNames.append("CarryHeliDieR")</v>
      </c>
      <c r="M170" s="8" t="str">
        <f>CONCATENATE("reqSprBanks.append(0x",Table1[[#This Row],[imgbank]],")")</f>
        <v>reqSprBanks.append(0x04)</v>
      </c>
    </row>
    <row r="171" spans="1:13" x14ac:dyDescent="0.25">
      <c r="A171" s="1">
        <v>169</v>
      </c>
      <c r="B171" s="1" t="s">
        <v>1264</v>
      </c>
      <c r="C171" s="2" t="s">
        <v>105</v>
      </c>
      <c r="D171" s="1" t="s">
        <v>878</v>
      </c>
      <c r="E171" s="3" t="s">
        <v>601</v>
      </c>
      <c r="F171" s="1" t="s">
        <v>428</v>
      </c>
      <c r="G171" s="2" t="s">
        <v>1099</v>
      </c>
      <c r="H171" s="1"/>
      <c r="I171" s="1" t="str">
        <f>Table1[[#This Row],[idh]]</f>
        <v>A9</v>
      </c>
      <c r="J171" s="1" t="str">
        <f>CONCATENATE("an",Table1[[#This Row],[name]],"_ID")</f>
        <v>anManticharDie_ID</v>
      </c>
      <c r="K171" s="1" t="str">
        <f>CONCATENATE(Table1[[#This Row],[asm]]," = $",Table1[[#This Row],[idh]])</f>
        <v>anManticharDie_ID = $A9</v>
      </c>
      <c r="L171" s="1" t="str">
        <f>CONCATENATE("animNames.append(""",Table1[[#This Row],[name]],""")")</f>
        <v>animNames.append("ManticharDie")</v>
      </c>
      <c r="M171" s="8" t="str">
        <f>CONCATENATE("reqSprBanks.append(0x",Table1[[#This Row],[imgbank]],")")</f>
        <v>reqSprBanks.append(0x04)</v>
      </c>
    </row>
    <row r="172" spans="1:13" x14ac:dyDescent="0.25">
      <c r="A172" s="1">
        <v>170</v>
      </c>
      <c r="B172" s="1" t="s">
        <v>1265</v>
      </c>
      <c r="C172" s="2" t="s">
        <v>106</v>
      </c>
      <c r="D172" s="1" t="s">
        <v>879</v>
      </c>
      <c r="E172" s="3" t="s">
        <v>602</v>
      </c>
      <c r="F172" s="1" t="s">
        <v>437</v>
      </c>
      <c r="G172" s="2" t="s">
        <v>1105</v>
      </c>
      <c r="H172" s="1"/>
      <c r="I172" s="1" t="str">
        <f>Table1[[#This Row],[idh]]</f>
        <v>AA</v>
      </c>
      <c r="J172" s="1" t="str">
        <f>CONCATENATE("an",Table1[[#This Row],[name]],"_ID")</f>
        <v>anRuckusDie_ID</v>
      </c>
      <c r="K172" s="1" t="str">
        <f>CONCATENATE(Table1[[#This Row],[asm]]," = $",Table1[[#This Row],[idh]])</f>
        <v>anRuckusDie_ID = $AA</v>
      </c>
      <c r="L172" s="1" t="str">
        <f>CONCATENATE("animNames.append(""",Table1[[#This Row],[name]],""")")</f>
        <v>animNames.append("RuckusDie")</v>
      </c>
      <c r="M172" s="8" t="str">
        <f>CONCATENATE("reqSprBanks.append(0x",Table1[[#This Row],[imgbank]],")")</f>
        <v>reqSprBanks.append(0x0A)</v>
      </c>
    </row>
    <row r="173" spans="1:13" x14ac:dyDescent="0.25">
      <c r="A173" s="1">
        <v>171</v>
      </c>
      <c r="B173" s="1" t="s">
        <v>1266</v>
      </c>
      <c r="C173" s="2" t="s">
        <v>107</v>
      </c>
      <c r="D173" s="1" t="s">
        <v>880</v>
      </c>
      <c r="E173" s="3" t="s">
        <v>881</v>
      </c>
      <c r="F173" s="1" t="s">
        <v>430</v>
      </c>
      <c r="G173" s="2" t="s">
        <v>1099</v>
      </c>
      <c r="H173" s="1"/>
      <c r="I173" s="1" t="str">
        <f>Table1[[#This Row],[idh]]</f>
        <v>AB</v>
      </c>
      <c r="J173" s="1" t="str">
        <f>CONCATENATE("an",Table1[[#This Row],[name]],"_ID")</f>
        <v>anKirikabunDie_ID</v>
      </c>
      <c r="K173" s="1" t="str">
        <f>CONCATENATE(Table1[[#This Row],[asm]]," = $",Table1[[#This Row],[idh]])</f>
        <v>anKirikabunDie_ID = $AB</v>
      </c>
      <c r="L173" s="1" t="str">
        <f>CONCATENATE("animNames.append(""",Table1[[#This Row],[name]],""")")</f>
        <v>animNames.append("KirikabunDie")</v>
      </c>
      <c r="M173" s="8" t="str">
        <f>CONCATENATE("reqSprBanks.append(0x",Table1[[#This Row],[imgbank]],")")</f>
        <v>reqSprBanks.append(0x04)</v>
      </c>
    </row>
    <row r="174" spans="1:13" x14ac:dyDescent="0.25">
      <c r="A174" s="1">
        <v>172</v>
      </c>
      <c r="B174" s="1" t="s">
        <v>1267</v>
      </c>
      <c r="C174" s="2" t="s">
        <v>108</v>
      </c>
      <c r="D174" s="1" t="s">
        <v>882</v>
      </c>
      <c r="E174" s="3" t="s">
        <v>603</v>
      </c>
      <c r="F174" s="1" t="s">
        <v>430</v>
      </c>
      <c r="G174" s="2" t="s">
        <v>1099</v>
      </c>
      <c r="H174" s="1"/>
      <c r="I174" s="1" t="str">
        <f>Table1[[#This Row],[idh]]</f>
        <v>AC</v>
      </c>
      <c r="J174" s="1" t="str">
        <f>CONCATENATE("an",Table1[[#This Row],[name]],"_ID")</f>
        <v>anFlutterflyDie_ID</v>
      </c>
      <c r="K174" s="1" t="str">
        <f>CONCATENATE(Table1[[#This Row],[asm]]," = $",Table1[[#This Row],[idh]])</f>
        <v>anFlutterflyDie_ID = $AC</v>
      </c>
      <c r="L174" s="1" t="str">
        <f>CONCATENATE("animNames.append(""",Table1[[#This Row],[name]],""")")</f>
        <v>animNames.append("FlutterflyDie")</v>
      </c>
      <c r="M174" s="8" t="str">
        <f>CONCATENATE("reqSprBanks.append(0x",Table1[[#This Row],[imgbank]],")")</f>
        <v>reqSprBanks.append(0x04)</v>
      </c>
    </row>
    <row r="175" spans="1:13" x14ac:dyDescent="0.25">
      <c r="A175" s="1">
        <v>173</v>
      </c>
      <c r="B175" s="1" t="s">
        <v>1268</v>
      </c>
      <c r="C175" s="2" t="s">
        <v>109</v>
      </c>
      <c r="D175" s="1" t="s">
        <v>883</v>
      </c>
      <c r="E175" s="3" t="s">
        <v>604</v>
      </c>
      <c r="F175" s="1" t="s">
        <v>431</v>
      </c>
      <c r="G175" s="2" t="s">
        <v>1099</v>
      </c>
      <c r="H175" s="1"/>
      <c r="I175" s="1" t="str">
        <f>Table1[[#This Row],[idh]]</f>
        <v>AD</v>
      </c>
      <c r="J175" s="1" t="str">
        <f>CONCATENATE("an",Table1[[#This Row],[name]],"_ID")</f>
        <v>anTwizzerDie_ID</v>
      </c>
      <c r="K175" s="1" t="str">
        <f>CONCATENATE(Table1[[#This Row],[asm]]," = $",Table1[[#This Row],[idh]])</f>
        <v>anTwizzerDie_ID = $AD</v>
      </c>
      <c r="L175" s="1" t="str">
        <f>CONCATENATE("animNames.append(""",Table1[[#This Row],[name]],""")")</f>
        <v>animNames.append("TwizzerDie")</v>
      </c>
      <c r="M175" s="8" t="str">
        <f>CONCATENATE("reqSprBanks.append(0x",Table1[[#This Row],[imgbank]],")")</f>
        <v>reqSprBanks.append(0x04)</v>
      </c>
    </row>
    <row r="176" spans="1:13" x14ac:dyDescent="0.25">
      <c r="A176" s="1">
        <v>174</v>
      </c>
      <c r="B176" s="1" t="s">
        <v>1269</v>
      </c>
      <c r="C176" s="2" t="s">
        <v>110</v>
      </c>
      <c r="D176" s="1" t="s">
        <v>893</v>
      </c>
      <c r="E176" s="3" t="s">
        <v>605</v>
      </c>
      <c r="F176" s="1" t="s">
        <v>434</v>
      </c>
      <c r="G176" s="2" t="s">
        <v>1099</v>
      </c>
      <c r="H176" s="1"/>
      <c r="I176" s="1" t="str">
        <f>Table1[[#This Row],[idh]]</f>
        <v>AE</v>
      </c>
      <c r="J176" s="1" t="str">
        <f>CONCATENATE("an",Table1[[#This Row],[name]],"_ID")</f>
        <v>anDrunkDie_ID</v>
      </c>
      <c r="K176" s="1" t="str">
        <f>CONCATENATE(Table1[[#This Row],[asm]]," = $",Table1[[#This Row],[idh]])</f>
        <v>anDrunkDie_ID = $AE</v>
      </c>
      <c r="L176" s="1" t="str">
        <f>CONCATENATE("animNames.append(""",Table1[[#This Row],[name]],""")")</f>
        <v>animNames.append("DrunkDie")</v>
      </c>
      <c r="M176" s="8" t="str">
        <f>CONCATENATE("reqSprBanks.append(0x",Table1[[#This Row],[imgbank]],")")</f>
        <v>reqSprBanks.append(0x04)</v>
      </c>
    </row>
    <row r="177" spans="1:13" x14ac:dyDescent="0.25">
      <c r="A177" s="1">
        <v>175</v>
      </c>
      <c r="B177" s="1" t="s">
        <v>1270</v>
      </c>
      <c r="C177" s="2" t="s">
        <v>111</v>
      </c>
      <c r="D177" s="1" t="s">
        <v>895</v>
      </c>
      <c r="E177" s="3" t="s">
        <v>606</v>
      </c>
      <c r="F177" s="1" t="s">
        <v>419</v>
      </c>
      <c r="G177" s="2" t="s">
        <v>1099</v>
      </c>
      <c r="H177" s="1"/>
      <c r="I177" s="1" t="str">
        <f>Table1[[#This Row],[idh]]</f>
        <v>AF</v>
      </c>
      <c r="J177" s="1" t="str">
        <f>CONCATENATE("an",Table1[[#This Row],[name]],"_ID")</f>
        <v>anNeedlerSyringe_ID</v>
      </c>
      <c r="K177" s="1" t="str">
        <f>CONCATENATE(Table1[[#This Row],[asm]]," = $",Table1[[#This Row],[idh]])</f>
        <v>anNeedlerSyringe_ID = $AF</v>
      </c>
      <c r="L177" s="1" t="str">
        <f>CONCATENATE("animNames.append(""",Table1[[#This Row],[name]],""")")</f>
        <v>animNames.append("NeedlerSyringe")</v>
      </c>
      <c r="M177" s="8" t="str">
        <f>CONCATENATE("reqSprBanks.append(0x",Table1[[#This Row],[imgbank]],")")</f>
        <v>reqSprBanks.append(0x04)</v>
      </c>
    </row>
    <row r="178" spans="1:13" x14ac:dyDescent="0.25">
      <c r="A178" s="1">
        <v>176</v>
      </c>
      <c r="B178" s="1" t="s">
        <v>1271</v>
      </c>
      <c r="C178" s="2" t="s">
        <v>112</v>
      </c>
      <c r="D178" s="1" t="s">
        <v>894</v>
      </c>
      <c r="E178" s="3" t="s">
        <v>607</v>
      </c>
      <c r="F178" s="1" t="s">
        <v>424</v>
      </c>
      <c r="G178" s="2" t="s">
        <v>1099</v>
      </c>
      <c r="H178" s="1"/>
      <c r="I178" s="1" t="str">
        <f>Table1[[#This Row],[idh]]</f>
        <v>B0</v>
      </c>
      <c r="J178" s="1" t="str">
        <f>CONCATENATE("an",Table1[[#This Row],[name]],"_ID")</f>
        <v>anInvaderBeam_ID</v>
      </c>
      <c r="K178" s="1" t="str">
        <f>CONCATENATE(Table1[[#This Row],[asm]]," = $",Table1[[#This Row],[idh]])</f>
        <v>anInvaderBeam_ID = $B0</v>
      </c>
      <c r="L178" s="1" t="str">
        <f>CONCATENATE("animNames.append(""",Table1[[#This Row],[name]],""")")</f>
        <v>animNames.append("InvaderBeam")</v>
      </c>
      <c r="M178" s="8" t="str">
        <f>CONCATENATE("reqSprBanks.append(0x",Table1[[#This Row],[imgbank]],")")</f>
        <v>reqSprBanks.append(0x04)</v>
      </c>
    </row>
    <row r="179" spans="1:13" x14ac:dyDescent="0.25">
      <c r="A179" s="1">
        <v>177</v>
      </c>
      <c r="B179" s="1" t="s">
        <v>1272</v>
      </c>
      <c r="C179" s="2" t="s">
        <v>113</v>
      </c>
      <c r="D179" s="1" t="s">
        <v>896</v>
      </c>
      <c r="E179" s="3" t="s">
        <v>608</v>
      </c>
      <c r="F179" s="1" t="s">
        <v>425</v>
      </c>
      <c r="G179" s="2" t="s">
        <v>1099</v>
      </c>
      <c r="H179" s="1"/>
      <c r="I179" s="1" t="str">
        <f>Table1[[#This Row],[idh]]</f>
        <v>B1</v>
      </c>
      <c r="J179" s="1" t="str">
        <f>CONCATENATE("an",Table1[[#This Row],[name]],"_ID")</f>
        <v>anHeitaiKunPara_ID</v>
      </c>
      <c r="K179" s="1" t="str">
        <f>CONCATENATE(Table1[[#This Row],[asm]]," = $",Table1[[#This Row],[idh]])</f>
        <v>anHeitaiKunPara_ID = $B1</v>
      </c>
      <c r="L179" s="1" t="str">
        <f>CONCATENATE("animNames.append(""",Table1[[#This Row],[name]],""")")</f>
        <v>animNames.append("HeitaiKunPara")</v>
      </c>
      <c r="M179" s="8" t="str">
        <f>CONCATENATE("reqSprBanks.append(0x",Table1[[#This Row],[imgbank]],")")</f>
        <v>reqSprBanks.append(0x04)</v>
      </c>
    </row>
    <row r="180" spans="1:13" x14ac:dyDescent="0.25">
      <c r="A180" s="1">
        <v>178</v>
      </c>
      <c r="B180" s="1" t="s">
        <v>1273</v>
      </c>
      <c r="C180" s="2" t="s">
        <v>114</v>
      </c>
      <c r="D180" s="1" t="s">
        <v>897</v>
      </c>
      <c r="E180" s="3" t="s">
        <v>609</v>
      </c>
      <c r="F180" s="1" t="s">
        <v>425</v>
      </c>
      <c r="G180" s="2" t="s">
        <v>1099</v>
      </c>
      <c r="H180" s="1"/>
      <c r="I180" s="1" t="str">
        <f>Table1[[#This Row],[idh]]</f>
        <v>B2</v>
      </c>
      <c r="J180" s="1" t="str">
        <f>CONCATENATE("an",Table1[[#This Row],[name]],"_ID")</f>
        <v>anHeitaiKunParaLand_ID</v>
      </c>
      <c r="K180" s="1" t="str">
        <f>CONCATENATE(Table1[[#This Row],[asm]]," = $",Table1[[#This Row],[idh]])</f>
        <v>anHeitaiKunParaLand_ID = $B2</v>
      </c>
      <c r="L180" s="1" t="str">
        <f>CONCATENATE("animNames.append(""",Table1[[#This Row],[name]],""")")</f>
        <v>animNames.append("HeitaiKunParaLand")</v>
      </c>
      <c r="M180" s="8" t="str">
        <f>CONCATENATE("reqSprBanks.append(0x",Table1[[#This Row],[imgbank]],")")</f>
        <v>reqSprBanks.append(0x04)</v>
      </c>
    </row>
    <row r="181" spans="1:13" x14ac:dyDescent="0.25">
      <c r="A181" s="1">
        <v>179</v>
      </c>
      <c r="B181" s="1" t="s">
        <v>1274</v>
      </c>
      <c r="C181" s="2" t="s">
        <v>115</v>
      </c>
      <c r="D181" s="1" t="s">
        <v>898</v>
      </c>
      <c r="E181" s="3" t="s">
        <v>610</v>
      </c>
      <c r="F181" s="1" t="s">
        <v>427</v>
      </c>
      <c r="G181" s="2" t="s">
        <v>1099</v>
      </c>
      <c r="H181" s="1"/>
      <c r="I181" s="1" t="str">
        <f>Table1[[#This Row],[idh]]</f>
        <v>B3</v>
      </c>
      <c r="J181" s="1" t="str">
        <f>CONCATENATE("an",Table1[[#This Row],[name]],"_ID")</f>
        <v>anFlarionFlame_ID</v>
      </c>
      <c r="K181" s="1" t="str">
        <f>CONCATENATE(Table1[[#This Row],[asm]]," = $",Table1[[#This Row],[idh]])</f>
        <v>anFlarionFlame_ID = $B3</v>
      </c>
      <c r="L181" s="1" t="str">
        <f>CONCATENATE("animNames.append(""",Table1[[#This Row],[name]],""")")</f>
        <v>animNames.append("FlarionFlame")</v>
      </c>
      <c r="M181" s="8" t="str">
        <f>CONCATENATE("reqSprBanks.append(0x",Table1[[#This Row],[imgbank]],")")</f>
        <v>reqSprBanks.append(0x04)</v>
      </c>
    </row>
    <row r="182" spans="1:13" x14ac:dyDescent="0.25">
      <c r="A182" s="1">
        <v>180</v>
      </c>
      <c r="B182" s="1" t="s">
        <v>1275</v>
      </c>
      <c r="C182" s="2" t="s">
        <v>116</v>
      </c>
      <c r="D182" s="4" t="s">
        <v>1537</v>
      </c>
      <c r="E182" s="3" t="s">
        <v>1519</v>
      </c>
      <c r="F182" s="1" t="s">
        <v>401</v>
      </c>
      <c r="G182" s="2" t="s">
        <v>1099</v>
      </c>
      <c r="H182" s="1"/>
      <c r="I182" s="1" t="str">
        <f>Table1[[#This Row],[idh]]</f>
        <v>B4</v>
      </c>
      <c r="J182" s="1" t="str">
        <f>CONCATENATE("an",Table1[[#This Row],[name]],"_ID")</f>
        <v>anRoboZenMissileLeft_ID</v>
      </c>
      <c r="K182" s="1" t="str">
        <f>CONCATENATE(Table1[[#This Row],[asm]]," = $",Table1[[#This Row],[idh]])</f>
        <v>anRoboZenMissileLeft_ID = $B4</v>
      </c>
      <c r="L182" s="1" t="str">
        <f>CONCATENATE("animNames.append(""",Table1[[#This Row],[name]],""")")</f>
        <v>animNames.append("RoboZenMissileLeft")</v>
      </c>
      <c r="M182" s="8" t="str">
        <f>CONCATENATE("reqSprBanks.append(0x",Table1[[#This Row],[imgbank]],")")</f>
        <v>reqSprBanks.append(0x04)</v>
      </c>
    </row>
    <row r="183" spans="1:13" x14ac:dyDescent="0.25">
      <c r="A183" s="1">
        <v>181</v>
      </c>
      <c r="B183" s="1" t="s">
        <v>1276</v>
      </c>
      <c r="C183" s="2" t="s">
        <v>117</v>
      </c>
      <c r="D183" s="4" t="s">
        <v>1534</v>
      </c>
      <c r="E183" s="3" t="s">
        <v>1520</v>
      </c>
      <c r="F183" s="1" t="s">
        <v>401</v>
      </c>
      <c r="G183" s="2" t="s">
        <v>1099</v>
      </c>
      <c r="H183" s="1"/>
      <c r="I183" s="1" t="str">
        <f>Table1[[#This Row],[idh]]</f>
        <v>B5</v>
      </c>
      <c r="J183" s="1" t="str">
        <f>CONCATENATE("an",Table1[[#This Row],[name]],"_ID")</f>
        <v>anRoboZenMissileDownLeft_ID</v>
      </c>
      <c r="K183" s="1" t="str">
        <f>CONCATENATE(Table1[[#This Row],[asm]]," = $",Table1[[#This Row],[idh]])</f>
        <v>anRoboZenMissileDownLeft_ID = $B5</v>
      </c>
      <c r="L183" s="1" t="str">
        <f>CONCATENATE("animNames.append(""",Table1[[#This Row],[name]],""")")</f>
        <v>animNames.append("RoboZenMissileDownLeft")</v>
      </c>
      <c r="M183" s="8" t="str">
        <f>CONCATENATE("reqSprBanks.append(0x",Table1[[#This Row],[imgbank]],")")</f>
        <v>reqSprBanks.append(0x04)</v>
      </c>
    </row>
    <row r="184" spans="1:13" x14ac:dyDescent="0.25">
      <c r="A184" s="1">
        <v>182</v>
      </c>
      <c r="B184" s="1" t="s">
        <v>1277</v>
      </c>
      <c r="C184" s="2" t="s">
        <v>118</v>
      </c>
      <c r="D184" s="4" t="s">
        <v>1530</v>
      </c>
      <c r="E184" s="3" t="s">
        <v>1520</v>
      </c>
      <c r="F184" s="1" t="s">
        <v>401</v>
      </c>
      <c r="G184" s="2" t="s">
        <v>1099</v>
      </c>
      <c r="H184" s="1"/>
      <c r="I184" s="1" t="str">
        <f>Table1[[#This Row],[idh]]</f>
        <v>B6</v>
      </c>
      <c r="J184" s="1" t="str">
        <f>CONCATENATE("an",Table1[[#This Row],[name]],"_ID")</f>
        <v>anRoboZenMissileUp_ID</v>
      </c>
      <c r="K184" s="1" t="str">
        <f>CONCATENATE(Table1[[#This Row],[asm]]," = $",Table1[[#This Row],[idh]])</f>
        <v>anRoboZenMissileUp_ID = $B6</v>
      </c>
      <c r="L184" s="1" t="str">
        <f>CONCATENATE("animNames.append(""",Table1[[#This Row],[name]],""")")</f>
        <v>animNames.append("RoboZenMissileUp")</v>
      </c>
      <c r="M184" s="8" t="str">
        <f>CONCATENATE("reqSprBanks.append(0x",Table1[[#This Row],[imgbank]],")")</f>
        <v>reqSprBanks.append(0x04)</v>
      </c>
    </row>
    <row r="185" spans="1:13" x14ac:dyDescent="0.25">
      <c r="A185" s="1">
        <v>183</v>
      </c>
      <c r="B185" s="1" t="s">
        <v>1278</v>
      </c>
      <c r="C185" s="2" t="s">
        <v>119</v>
      </c>
      <c r="D185" s="4" t="s">
        <v>1536</v>
      </c>
      <c r="E185" s="3" t="s">
        <v>1520</v>
      </c>
      <c r="F185" s="1" t="s">
        <v>401</v>
      </c>
      <c r="G185" s="2" t="s">
        <v>1099</v>
      </c>
      <c r="H185" s="1"/>
      <c r="I185" s="1" t="str">
        <f>Table1[[#This Row],[idh]]</f>
        <v>B7</v>
      </c>
      <c r="J185" s="1" t="str">
        <f>CONCATENATE("an",Table1[[#This Row],[name]],"_ID")</f>
        <v>anRoboZenMissileRight_ID</v>
      </c>
      <c r="K185" s="1" t="str">
        <f>CONCATENATE(Table1[[#This Row],[asm]]," = $",Table1[[#This Row],[idh]])</f>
        <v>anRoboZenMissileRight_ID = $B7</v>
      </c>
      <c r="L185" s="1" t="str">
        <f>CONCATENATE("animNames.append(""",Table1[[#This Row],[name]],""")")</f>
        <v>animNames.append("RoboZenMissileRight")</v>
      </c>
      <c r="M185" s="8" t="str">
        <f>CONCATENATE("reqSprBanks.append(0x",Table1[[#This Row],[imgbank]],")")</f>
        <v>reqSprBanks.append(0x04)</v>
      </c>
    </row>
    <row r="186" spans="1:13" x14ac:dyDescent="0.25">
      <c r="A186" s="1">
        <v>184</v>
      </c>
      <c r="B186" s="1" t="s">
        <v>1279</v>
      </c>
      <c r="C186" s="2" t="s">
        <v>120</v>
      </c>
      <c r="D186" s="4" t="s">
        <v>1538</v>
      </c>
      <c r="E186" s="3" t="s">
        <v>584</v>
      </c>
      <c r="F186" s="1" t="s">
        <v>401</v>
      </c>
      <c r="G186" s="2" t="s">
        <v>1099</v>
      </c>
      <c r="H186" s="1"/>
      <c r="I186" s="1" t="str">
        <f>Table1[[#This Row],[idh]]</f>
        <v>B8</v>
      </c>
      <c r="J186" s="1" t="str">
        <f>CONCATENATE("an",Table1[[#This Row],[name]],"_ID")</f>
        <v>anDrunkBottle_ID</v>
      </c>
      <c r="K186" s="1" t="str">
        <f>CONCATENATE(Table1[[#This Row],[asm]]," = $",Table1[[#This Row],[idh]])</f>
        <v>anDrunkBottle_ID = $B8</v>
      </c>
      <c r="L186" s="1" t="str">
        <f>CONCATENATE("animNames.append(""",Table1[[#This Row],[name]],""")")</f>
        <v>animNames.append("DrunkBottle")</v>
      </c>
      <c r="M186" s="8" t="str">
        <f>CONCATENATE("reqSprBanks.append(0x",Table1[[#This Row],[imgbank]],")")</f>
        <v>reqSprBanks.append(0x04)</v>
      </c>
    </row>
    <row r="187" spans="1:13" x14ac:dyDescent="0.25">
      <c r="A187" s="1">
        <v>185</v>
      </c>
      <c r="B187" s="1" t="s">
        <v>1280</v>
      </c>
      <c r="C187" s="2" t="s">
        <v>121</v>
      </c>
      <c r="D187" s="4" t="s">
        <v>1539</v>
      </c>
      <c r="E187" s="3" t="s">
        <v>584</v>
      </c>
      <c r="F187" s="1" t="s">
        <v>401</v>
      </c>
      <c r="G187" s="2" t="s">
        <v>1099</v>
      </c>
      <c r="H187" s="1"/>
      <c r="I187" s="1" t="str">
        <f>Table1[[#This Row],[idh]]</f>
        <v>B9</v>
      </c>
      <c r="J187" s="1" t="str">
        <f>CONCATENATE("an",Table1[[#This Row],[name]],"_ID")</f>
        <v>anDrunkBlast_ID</v>
      </c>
      <c r="K187" s="1" t="str">
        <f>CONCATENATE(Table1[[#This Row],[asm]]," = $",Table1[[#This Row],[idh]])</f>
        <v>anDrunkBlast_ID = $B9</v>
      </c>
      <c r="L187" s="1" t="str">
        <f>CONCATENATE("animNames.append(""",Table1[[#This Row],[name]],""")")</f>
        <v>animNames.append("DrunkBlast")</v>
      </c>
      <c r="M187" s="8" t="str">
        <f>CONCATENATE("reqSprBanks.append(0x",Table1[[#This Row],[imgbank]],")")</f>
        <v>reqSprBanks.append(0x04)</v>
      </c>
    </row>
    <row r="188" spans="1:13" x14ac:dyDescent="0.25">
      <c r="A188" s="1">
        <v>186</v>
      </c>
      <c r="B188" s="1" t="s">
        <v>1281</v>
      </c>
      <c r="C188" s="2" t="s">
        <v>122</v>
      </c>
      <c r="D188" s="4" t="s">
        <v>1532</v>
      </c>
      <c r="E188" s="3" t="s">
        <v>1520</v>
      </c>
      <c r="F188" s="1" t="s">
        <v>401</v>
      </c>
      <c r="G188" s="2" t="s">
        <v>1099</v>
      </c>
      <c r="H188" s="1"/>
      <c r="I188" s="1" t="str">
        <f>Table1[[#This Row],[idh]]</f>
        <v>BA</v>
      </c>
      <c r="J188" s="1" t="str">
        <f>CONCATENATE("an",Table1[[#This Row],[name]],"_ID")</f>
        <v>anRoboZenMissileDownRight_ID</v>
      </c>
      <c r="K188" s="1" t="str">
        <f>CONCATENATE(Table1[[#This Row],[asm]]," = $",Table1[[#This Row],[idh]])</f>
        <v>anRoboZenMissileDownRight_ID = $BA</v>
      </c>
      <c r="L188" s="1" t="str">
        <f>CONCATENATE("animNames.append(""",Table1[[#This Row],[name]],""")")</f>
        <v>animNames.append("RoboZenMissileDownRight")</v>
      </c>
      <c r="M188" s="8" t="str">
        <f>CONCATENATE("reqSprBanks.append(0x",Table1[[#This Row],[imgbank]],")")</f>
        <v>reqSprBanks.append(0x04)</v>
      </c>
    </row>
    <row r="189" spans="1:13" x14ac:dyDescent="0.25">
      <c r="A189" s="1">
        <v>187</v>
      </c>
      <c r="B189" s="1" t="s">
        <v>1282</v>
      </c>
      <c r="C189" s="2" t="s">
        <v>123</v>
      </c>
      <c r="D189" s="4" t="s">
        <v>1533</v>
      </c>
      <c r="E189" s="3" t="s">
        <v>1520</v>
      </c>
      <c r="F189" s="1" t="s">
        <v>401</v>
      </c>
      <c r="G189" s="2" t="s">
        <v>1099</v>
      </c>
      <c r="H189" s="1"/>
      <c r="I189" s="1" t="str">
        <f>Table1[[#This Row],[idh]]</f>
        <v>BB</v>
      </c>
      <c r="J189" s="1" t="str">
        <f>CONCATENATE("an",Table1[[#This Row],[name]],"_ID")</f>
        <v>anRoboZenMissileDown_ID</v>
      </c>
      <c r="K189" s="1" t="str">
        <f>CONCATENATE(Table1[[#This Row],[asm]]," = $",Table1[[#This Row],[idh]])</f>
        <v>anRoboZenMissileDown_ID = $BB</v>
      </c>
      <c r="L189" s="1" t="str">
        <f>CONCATENATE("animNames.append(""",Table1[[#This Row],[name]],""")")</f>
        <v>animNames.append("RoboZenMissileDown")</v>
      </c>
      <c r="M189" s="8" t="str">
        <f>CONCATENATE("reqSprBanks.append(0x",Table1[[#This Row],[imgbank]],")")</f>
        <v>reqSprBanks.append(0x04)</v>
      </c>
    </row>
    <row r="190" spans="1:13" x14ac:dyDescent="0.25">
      <c r="A190" s="1">
        <v>188</v>
      </c>
      <c r="B190" s="1" t="s">
        <v>1283</v>
      </c>
      <c r="C190" s="2" t="s">
        <v>124</v>
      </c>
      <c r="D190" s="4" t="s">
        <v>1535</v>
      </c>
      <c r="E190" s="3" t="s">
        <v>1520</v>
      </c>
      <c r="F190" s="1" t="s">
        <v>401</v>
      </c>
      <c r="G190" s="2" t="s">
        <v>1099</v>
      </c>
      <c r="H190" s="1"/>
      <c r="I190" s="1" t="str">
        <f>Table1[[#This Row],[idh]]</f>
        <v>BC</v>
      </c>
      <c r="J190" s="1" t="str">
        <f>CONCATENATE("an",Table1[[#This Row],[name]],"_ID")</f>
        <v>anRoboZenMissileUpLeft_ID</v>
      </c>
      <c r="K190" s="1" t="str">
        <f>CONCATENATE(Table1[[#This Row],[asm]]," = $",Table1[[#This Row],[idh]])</f>
        <v>anRoboZenMissileUpLeft_ID = $BC</v>
      </c>
      <c r="L190" s="1" t="str">
        <f>CONCATENATE("animNames.append(""",Table1[[#This Row],[name]],""")")</f>
        <v>animNames.append("RoboZenMissileUpLeft")</v>
      </c>
      <c r="M190" s="8" t="str">
        <f>CONCATENATE("reqSprBanks.append(0x",Table1[[#This Row],[imgbank]],")")</f>
        <v>reqSprBanks.append(0x04)</v>
      </c>
    </row>
    <row r="191" spans="1:13" x14ac:dyDescent="0.25">
      <c r="A191" s="1">
        <v>189</v>
      </c>
      <c r="B191" s="1" t="s">
        <v>1284</v>
      </c>
      <c r="C191" s="2" t="s">
        <v>125</v>
      </c>
      <c r="D191" s="4" t="s">
        <v>1531</v>
      </c>
      <c r="E191" s="3" t="s">
        <v>1520</v>
      </c>
      <c r="F191" s="1" t="s">
        <v>401</v>
      </c>
      <c r="G191" s="2" t="s">
        <v>1099</v>
      </c>
      <c r="H191" s="1"/>
      <c r="I191" s="1" t="str">
        <f>Table1[[#This Row],[idh]]</f>
        <v>BD</v>
      </c>
      <c r="J191" s="1" t="str">
        <f>CONCATENATE("an",Table1[[#This Row],[name]],"_ID")</f>
        <v>anRoboZenMissileUpRight_ID</v>
      </c>
      <c r="K191" s="1" t="str">
        <f>CONCATENATE(Table1[[#This Row],[asm]]," = $",Table1[[#This Row],[idh]])</f>
        <v>anRoboZenMissileUpRight_ID = $BD</v>
      </c>
      <c r="L191" s="1" t="str">
        <f>CONCATENATE("animNames.append(""",Table1[[#This Row],[name]],""")")</f>
        <v>animNames.append("RoboZenMissileUpRight")</v>
      </c>
      <c r="M191" s="8" t="str">
        <f>CONCATENATE("reqSprBanks.append(0x",Table1[[#This Row],[imgbank]],")")</f>
        <v>reqSprBanks.append(0x04)</v>
      </c>
    </row>
    <row r="192" spans="1:13" x14ac:dyDescent="0.25">
      <c r="A192" s="1">
        <v>190</v>
      </c>
      <c r="B192" s="1" t="s">
        <v>1285</v>
      </c>
      <c r="C192" s="2" t="s">
        <v>126</v>
      </c>
      <c r="D192" s="4" t="s">
        <v>1540</v>
      </c>
      <c r="E192" s="3" t="s">
        <v>1541</v>
      </c>
      <c r="F192" s="1" t="s">
        <v>401</v>
      </c>
      <c r="G192" s="2" t="s">
        <v>1099</v>
      </c>
      <c r="H192" s="1"/>
      <c r="I192" s="1" t="str">
        <f>Table1[[#This Row],[idh]]</f>
        <v>BE</v>
      </c>
      <c r="J192" s="1" t="str">
        <f>CONCATENATE("an",Table1[[#This Row],[name]],"_ID")</f>
        <v>anEnemySpecificReward_ID</v>
      </c>
      <c r="K192" s="1" t="str">
        <f>CONCATENATE(Table1[[#This Row],[asm]]," = $",Table1[[#This Row],[idh]])</f>
        <v>anEnemySpecificReward_ID = $BE</v>
      </c>
      <c r="L192" s="1" t="str">
        <f>CONCATENATE("animNames.append(""",Table1[[#This Row],[name]],""")")</f>
        <v>animNames.append("EnemySpecificReward")</v>
      </c>
      <c r="M192" s="8" t="str">
        <f>CONCATENATE("reqSprBanks.append(0x",Table1[[#This Row],[imgbank]],")")</f>
        <v>reqSprBanks.append(0x04)</v>
      </c>
    </row>
    <row r="193" spans="1:13" x14ac:dyDescent="0.25">
      <c r="A193" s="1">
        <v>191</v>
      </c>
      <c r="B193" s="1" t="s">
        <v>1286</v>
      </c>
      <c r="C193" s="2" t="s">
        <v>127</v>
      </c>
      <c r="D193" s="1" t="s">
        <v>901</v>
      </c>
      <c r="E193" s="3" t="s">
        <v>611</v>
      </c>
      <c r="F193" s="1" t="s">
        <v>435</v>
      </c>
      <c r="G193" s="2" t="s">
        <v>1099</v>
      </c>
      <c r="H193" s="1"/>
      <c r="I193" s="1" t="str">
        <f>Table1[[#This Row],[idh]]</f>
        <v>BF</v>
      </c>
      <c r="J193" s="1" t="str">
        <f>CONCATENATE("an",Table1[[#This Row],[name]],"_ID")</f>
        <v>anChuckerL_ID</v>
      </c>
      <c r="K193" s="1" t="str">
        <f>CONCATENATE(Table1[[#This Row],[asm]]," = $",Table1[[#This Row],[idh]])</f>
        <v>anChuckerL_ID = $BF</v>
      </c>
      <c r="L193" s="1" t="str">
        <f>CONCATENATE("animNames.append(""",Table1[[#This Row],[name]],""")")</f>
        <v>animNames.append("ChuckerL")</v>
      </c>
      <c r="M193" s="8" t="str">
        <f>CONCATENATE("reqSprBanks.append(0x",Table1[[#This Row],[imgbank]],")")</f>
        <v>reqSprBanks.append(0x04)</v>
      </c>
    </row>
    <row r="194" spans="1:13" x14ac:dyDescent="0.25">
      <c r="A194" s="1">
        <v>192</v>
      </c>
      <c r="B194" s="1" t="s">
        <v>1287</v>
      </c>
      <c r="C194" s="2" t="s">
        <v>128</v>
      </c>
      <c r="D194" s="1" t="s">
        <v>902</v>
      </c>
      <c r="E194" s="3" t="s">
        <v>612</v>
      </c>
      <c r="F194" s="1" t="s">
        <v>435</v>
      </c>
      <c r="G194" s="2" t="s">
        <v>1099</v>
      </c>
      <c r="H194" s="1"/>
      <c r="I194" s="1" t="str">
        <f>Table1[[#This Row],[idh]]</f>
        <v>C0</v>
      </c>
      <c r="J194" s="1" t="str">
        <f>CONCATENATE("an",Table1[[#This Row],[name]],"_ID")</f>
        <v>anChuckerR_ID</v>
      </c>
      <c r="K194" s="1" t="str">
        <f>CONCATENATE(Table1[[#This Row],[asm]]," = $",Table1[[#This Row],[idh]])</f>
        <v>anChuckerR_ID = $C0</v>
      </c>
      <c r="L194" s="1" t="str">
        <f>CONCATENATE("animNames.append(""",Table1[[#This Row],[name]],""")")</f>
        <v>animNames.append("ChuckerR")</v>
      </c>
      <c r="M194" s="8" t="str">
        <f>CONCATENATE("reqSprBanks.append(0x",Table1[[#This Row],[imgbank]],")")</f>
        <v>reqSprBanks.append(0x04)</v>
      </c>
    </row>
    <row r="195" spans="1:13" x14ac:dyDescent="0.25">
      <c r="A195" s="1">
        <v>193</v>
      </c>
      <c r="B195" s="1" t="s">
        <v>1288</v>
      </c>
      <c r="C195" s="2" t="s">
        <v>129</v>
      </c>
      <c r="D195" s="1" t="s">
        <v>903</v>
      </c>
      <c r="E195" s="3" t="s">
        <v>613</v>
      </c>
      <c r="F195" s="1" t="s">
        <v>435</v>
      </c>
      <c r="G195" s="2" t="s">
        <v>1099</v>
      </c>
      <c r="H195" s="1"/>
      <c r="I195" s="1" t="str">
        <f>Table1[[#This Row],[idh]]</f>
        <v>C1</v>
      </c>
      <c r="J195" s="1" t="str">
        <f>CONCATENATE("an",Table1[[#This Row],[name]],"_ID")</f>
        <v>anChuckerSmallL_ID</v>
      </c>
      <c r="K195" s="1" t="str">
        <f>CONCATENATE(Table1[[#This Row],[asm]]," = $",Table1[[#This Row],[idh]])</f>
        <v>anChuckerSmallL_ID = $C1</v>
      </c>
      <c r="L195" s="1" t="str">
        <f>CONCATENATE("animNames.append(""",Table1[[#This Row],[name]],""")")</f>
        <v>animNames.append("ChuckerSmallL")</v>
      </c>
      <c r="M195" s="8" t="str">
        <f>CONCATENATE("reqSprBanks.append(0x",Table1[[#This Row],[imgbank]],")")</f>
        <v>reqSprBanks.append(0x04)</v>
      </c>
    </row>
    <row r="196" spans="1:13" x14ac:dyDescent="0.25">
      <c r="A196" s="1">
        <v>194</v>
      </c>
      <c r="B196" s="1" t="s">
        <v>1289</v>
      </c>
      <c r="C196" s="2" t="s">
        <v>130</v>
      </c>
      <c r="D196" s="1" t="s">
        <v>904</v>
      </c>
      <c r="E196" s="3" t="s">
        <v>614</v>
      </c>
      <c r="F196" s="1" t="s">
        <v>435</v>
      </c>
      <c r="G196" s="2" t="s">
        <v>1099</v>
      </c>
      <c r="H196" s="1"/>
      <c r="I196" s="1" t="str">
        <f>Table1[[#This Row],[idh]]</f>
        <v>C2</v>
      </c>
      <c r="J196" s="1" t="str">
        <f>CONCATENATE("an",Table1[[#This Row],[name]],"_ID")</f>
        <v>anChuckerSmallR_ID</v>
      </c>
      <c r="K196" s="1" t="str">
        <f>CONCATENATE(Table1[[#This Row],[asm]]," = $",Table1[[#This Row],[idh]])</f>
        <v>anChuckerSmallR_ID = $C2</v>
      </c>
      <c r="L196" s="1" t="str">
        <f>CONCATENATE("animNames.append(""",Table1[[#This Row],[name]],""")")</f>
        <v>animNames.append("ChuckerSmallR")</v>
      </c>
      <c r="M196" s="8" t="str">
        <f>CONCATENATE("reqSprBanks.append(0x",Table1[[#This Row],[imgbank]],")")</f>
        <v>reqSprBanks.append(0x04)</v>
      </c>
    </row>
    <row r="197" spans="1:13" x14ac:dyDescent="0.25">
      <c r="A197" s="1">
        <v>195</v>
      </c>
      <c r="B197" s="1" t="s">
        <v>1290</v>
      </c>
      <c r="C197" s="2" t="s">
        <v>131</v>
      </c>
      <c r="D197" s="1" t="s">
        <v>905</v>
      </c>
      <c r="E197" s="3" t="s">
        <v>615</v>
      </c>
      <c r="F197" s="1" t="s">
        <v>435</v>
      </c>
      <c r="G197" s="2" t="s">
        <v>1099</v>
      </c>
      <c r="H197" s="1"/>
      <c r="I197" s="1" t="str">
        <f>Table1[[#This Row],[idh]]</f>
        <v>C3</v>
      </c>
      <c r="J197" s="1" t="str">
        <f>CONCATENATE("an",Table1[[#This Row],[name]],"_ID")</f>
        <v>anChuckerShootL_ID</v>
      </c>
      <c r="K197" s="1" t="str">
        <f>CONCATENATE(Table1[[#This Row],[asm]]," = $",Table1[[#This Row],[idh]])</f>
        <v>anChuckerShootL_ID = $C3</v>
      </c>
      <c r="L197" s="1" t="str">
        <f>CONCATENATE("animNames.append(""",Table1[[#This Row],[name]],""")")</f>
        <v>animNames.append("ChuckerShootL")</v>
      </c>
      <c r="M197" s="8" t="str">
        <f>CONCATENATE("reqSprBanks.append(0x",Table1[[#This Row],[imgbank]],")")</f>
        <v>reqSprBanks.append(0x04)</v>
      </c>
    </row>
    <row r="198" spans="1:13" x14ac:dyDescent="0.25">
      <c r="A198" s="1">
        <v>196</v>
      </c>
      <c r="B198" s="1" t="s">
        <v>1291</v>
      </c>
      <c r="C198" s="2" t="s">
        <v>343</v>
      </c>
      <c r="D198" s="1" t="s">
        <v>906</v>
      </c>
      <c r="E198" s="3" t="s">
        <v>616</v>
      </c>
      <c r="F198" s="1" t="s">
        <v>435</v>
      </c>
      <c r="G198" s="2" t="s">
        <v>1099</v>
      </c>
      <c r="H198" s="1"/>
      <c r="I198" s="1" t="str">
        <f>Table1[[#This Row],[idh]]</f>
        <v>C4</v>
      </c>
      <c r="J198" s="1" t="str">
        <f>CONCATENATE("an",Table1[[#This Row],[name]],"_ID")</f>
        <v>anChuckerShootR_ID</v>
      </c>
      <c r="K198" s="1" t="str">
        <f>CONCATENATE(Table1[[#This Row],[asm]]," = $",Table1[[#This Row],[idh]])</f>
        <v>anChuckerShootR_ID = $C4</v>
      </c>
      <c r="L198" s="1" t="str">
        <f>CONCATENATE("animNames.append(""",Table1[[#This Row],[name]],""")")</f>
        <v>animNames.append("ChuckerShootR")</v>
      </c>
      <c r="M198" s="8" t="str">
        <f>CONCATENATE("reqSprBanks.append(0x",Table1[[#This Row],[imgbank]],")")</f>
        <v>reqSprBanks.append(0x04)</v>
      </c>
    </row>
    <row r="199" spans="1:13" x14ac:dyDescent="0.25">
      <c r="A199" s="1">
        <v>197</v>
      </c>
      <c r="B199" s="1" t="s">
        <v>1292</v>
      </c>
      <c r="C199" s="2" t="s">
        <v>344</v>
      </c>
      <c r="D199" s="4" t="s">
        <v>1589</v>
      </c>
      <c r="E199" s="3" t="s">
        <v>907</v>
      </c>
      <c r="F199" s="1" t="s">
        <v>401</v>
      </c>
      <c r="G199" s="2" t="s">
        <v>1099</v>
      </c>
      <c r="H199" s="1"/>
      <c r="I199" s="1" t="str">
        <f>Table1[[#This Row],[idh]]</f>
        <v>C5</v>
      </c>
      <c r="J199" s="1" t="str">
        <f>CONCATENATE("an",Table1[[#This Row],[name]],"_ID")</f>
        <v>anChuckerRock_ID</v>
      </c>
      <c r="K199" s="1" t="str">
        <f>CONCATENATE(Table1[[#This Row],[asm]]," = $",Table1[[#This Row],[idh]])</f>
        <v>anChuckerRock_ID = $C5</v>
      </c>
      <c r="L199" s="1" t="str">
        <f>CONCATENATE("animNames.append(""",Table1[[#This Row],[name]],""")")</f>
        <v>animNames.append("ChuckerRock")</v>
      </c>
      <c r="M199" s="8" t="str">
        <f>CONCATENATE("reqSprBanks.append(0x",Table1[[#This Row],[imgbank]],")")</f>
        <v>reqSprBanks.append(0x04)</v>
      </c>
    </row>
    <row r="200" spans="1:13" x14ac:dyDescent="0.25">
      <c r="A200" s="1">
        <v>198</v>
      </c>
      <c r="B200" s="1" t="s">
        <v>1293</v>
      </c>
      <c r="C200" s="2" t="s">
        <v>132</v>
      </c>
      <c r="D200" s="1" t="s">
        <v>908</v>
      </c>
      <c r="E200" s="3" t="s">
        <v>617</v>
      </c>
      <c r="F200" s="1" t="s">
        <v>433</v>
      </c>
      <c r="G200" s="2" t="s">
        <v>1099</v>
      </c>
      <c r="H200" s="1"/>
      <c r="I200" s="1" t="str">
        <f>Table1[[#This Row],[idh]]</f>
        <v>C6</v>
      </c>
      <c r="J200" s="1" t="str">
        <f>CONCATENATE("an",Table1[[#This Row],[name]],"_ID")</f>
        <v>anDOHTop_ID</v>
      </c>
      <c r="K200" s="1" t="str">
        <f>CONCATENATE(Table1[[#This Row],[asm]]," = $",Table1[[#This Row],[idh]])</f>
        <v>anDOHTop_ID = $C6</v>
      </c>
      <c r="L200" s="1" t="str">
        <f>CONCATENATE("animNames.append(""",Table1[[#This Row],[name]],""")")</f>
        <v>animNames.append("DOHTop")</v>
      </c>
      <c r="M200" s="8" t="str">
        <f>CONCATENATE("reqSprBanks.append(0x",Table1[[#This Row],[imgbank]],")")</f>
        <v>reqSprBanks.append(0x04)</v>
      </c>
    </row>
    <row r="201" spans="1:13" x14ac:dyDescent="0.25">
      <c r="A201" s="1">
        <v>199</v>
      </c>
      <c r="B201" s="1" t="s">
        <v>1294</v>
      </c>
      <c r="C201" s="2" t="s">
        <v>133</v>
      </c>
      <c r="D201" s="1" t="s">
        <v>909</v>
      </c>
      <c r="E201" s="3" t="s">
        <v>618</v>
      </c>
      <c r="F201" s="1" t="s">
        <v>433</v>
      </c>
      <c r="G201" s="2" t="s">
        <v>1099</v>
      </c>
      <c r="H201" s="1"/>
      <c r="I201" s="1" t="str">
        <f>Table1[[#This Row],[idh]]</f>
        <v>C7</v>
      </c>
      <c r="J201" s="1" t="str">
        <f>CONCATENATE("an",Table1[[#This Row],[name]],"_ID")</f>
        <v>anDOHFace_ID</v>
      </c>
      <c r="K201" s="1" t="str">
        <f>CONCATENATE(Table1[[#This Row],[asm]]," = $",Table1[[#This Row],[idh]])</f>
        <v>anDOHFace_ID = $C7</v>
      </c>
      <c r="L201" s="1" t="str">
        <f>CONCATENATE("animNames.append(""",Table1[[#This Row],[name]],""")")</f>
        <v>animNames.append("DOHFace")</v>
      </c>
      <c r="M201" s="8" t="str">
        <f>CONCATENATE("reqSprBanks.append(0x",Table1[[#This Row],[imgbank]],")")</f>
        <v>reqSprBanks.append(0x04)</v>
      </c>
    </row>
    <row r="202" spans="1:13" x14ac:dyDescent="0.25">
      <c r="A202" s="1">
        <v>200</v>
      </c>
      <c r="B202" s="1" t="s">
        <v>1295</v>
      </c>
      <c r="C202" s="2" t="s">
        <v>134</v>
      </c>
      <c r="D202" s="1" t="s">
        <v>910</v>
      </c>
      <c r="E202" s="3" t="s">
        <v>619</v>
      </c>
      <c r="F202" s="1" t="s">
        <v>433</v>
      </c>
      <c r="G202" s="2" t="s">
        <v>1099</v>
      </c>
      <c r="H202" s="1"/>
      <c r="I202" s="1" t="str">
        <f>Table1[[#This Row],[idh]]</f>
        <v>C8</v>
      </c>
      <c r="J202" s="1" t="str">
        <f>CONCATENATE("an",Table1[[#This Row],[name]],"_ID")</f>
        <v>anDOHMouth_ID</v>
      </c>
      <c r="K202" s="1" t="str">
        <f>CONCATENATE(Table1[[#This Row],[asm]]," = $",Table1[[#This Row],[idh]])</f>
        <v>anDOHMouth_ID = $C8</v>
      </c>
      <c r="L202" s="1" t="str">
        <f>CONCATENATE("animNames.append(""",Table1[[#This Row],[name]],""")")</f>
        <v>animNames.append("DOHMouth")</v>
      </c>
      <c r="M202" s="8" t="str">
        <f>CONCATENATE("reqSprBanks.append(0x",Table1[[#This Row],[imgbank]],")")</f>
        <v>reqSprBanks.append(0x04)</v>
      </c>
    </row>
    <row r="203" spans="1:13" x14ac:dyDescent="0.25">
      <c r="A203" s="1">
        <v>201</v>
      </c>
      <c r="B203" s="1" t="s">
        <v>1296</v>
      </c>
      <c r="C203" s="2" t="s">
        <v>135</v>
      </c>
      <c r="D203" s="1" t="s">
        <v>911</v>
      </c>
      <c r="E203" s="3" t="s">
        <v>620</v>
      </c>
      <c r="F203" s="1" t="s">
        <v>433</v>
      </c>
      <c r="G203" s="2" t="s">
        <v>1099</v>
      </c>
      <c r="H203" s="1"/>
      <c r="I203" s="1" t="str">
        <f>Table1[[#This Row],[idh]]</f>
        <v>C9</v>
      </c>
      <c r="J203" s="1" t="str">
        <f>CONCATENATE("an",Table1[[#This Row],[name]],"_ID")</f>
        <v>anDOHBody_ID</v>
      </c>
      <c r="K203" s="1" t="str">
        <f>CONCATENATE(Table1[[#This Row],[asm]]," = $",Table1[[#This Row],[idh]])</f>
        <v>anDOHBody_ID = $C9</v>
      </c>
      <c r="L203" s="1" t="str">
        <f>CONCATENATE("animNames.append(""",Table1[[#This Row],[name]],""")")</f>
        <v>animNames.append("DOHBody")</v>
      </c>
      <c r="M203" s="8" t="str">
        <f>CONCATENATE("reqSprBanks.append(0x",Table1[[#This Row],[imgbank]],")")</f>
        <v>reqSprBanks.append(0x04)</v>
      </c>
    </row>
    <row r="204" spans="1:13" x14ac:dyDescent="0.25">
      <c r="A204" s="1">
        <v>202</v>
      </c>
      <c r="B204" s="1" t="s">
        <v>1297</v>
      </c>
      <c r="C204" s="2" t="s">
        <v>136</v>
      </c>
      <c r="D204" s="1" t="s">
        <v>912</v>
      </c>
      <c r="E204" s="3" t="s">
        <v>617</v>
      </c>
      <c r="F204" s="1" t="s">
        <v>433</v>
      </c>
      <c r="G204" s="2" t="s">
        <v>1099</v>
      </c>
      <c r="H204" s="1"/>
      <c r="I204" s="1" t="str">
        <f>Table1[[#This Row],[idh]]</f>
        <v>CA</v>
      </c>
      <c r="J204" s="1" t="str">
        <f>CONCATENATE("an",Table1[[#This Row],[name]],"_ID")</f>
        <v>anDOHTopShoot_ID</v>
      </c>
      <c r="K204" s="1" t="str">
        <f>CONCATENATE(Table1[[#This Row],[asm]]," = $",Table1[[#This Row],[idh]])</f>
        <v>anDOHTopShoot_ID = $CA</v>
      </c>
      <c r="L204" s="1" t="str">
        <f>CONCATENATE("animNames.append(""",Table1[[#This Row],[name]],""")")</f>
        <v>animNames.append("DOHTopShoot")</v>
      </c>
      <c r="M204" s="8" t="str">
        <f>CONCATENATE("reqSprBanks.append(0x",Table1[[#This Row],[imgbank]],")")</f>
        <v>reqSprBanks.append(0x04)</v>
      </c>
    </row>
    <row r="205" spans="1:13" x14ac:dyDescent="0.25">
      <c r="A205" s="1">
        <v>203</v>
      </c>
      <c r="B205" s="1" t="s">
        <v>1298</v>
      </c>
      <c r="C205" s="2" t="s">
        <v>137</v>
      </c>
      <c r="D205" s="1" t="s">
        <v>913</v>
      </c>
      <c r="E205" s="3" t="s">
        <v>618</v>
      </c>
      <c r="F205" s="1" t="s">
        <v>433</v>
      </c>
      <c r="G205" s="2" t="s">
        <v>1099</v>
      </c>
      <c r="H205" s="1"/>
      <c r="I205" s="1" t="str">
        <f>Table1[[#This Row],[idh]]</f>
        <v>CB</v>
      </c>
      <c r="J205" s="1" t="str">
        <f>CONCATENATE("an",Table1[[#This Row],[name]],"_ID")</f>
        <v>anDOHFaceShoot_ID</v>
      </c>
      <c r="K205" s="1" t="str">
        <f>CONCATENATE(Table1[[#This Row],[asm]]," = $",Table1[[#This Row],[idh]])</f>
        <v>anDOHFaceShoot_ID = $CB</v>
      </c>
      <c r="L205" s="1" t="str">
        <f>CONCATENATE("animNames.append(""",Table1[[#This Row],[name]],""")")</f>
        <v>animNames.append("DOHFaceShoot")</v>
      </c>
      <c r="M205" s="8" t="str">
        <f>CONCATENATE("reqSprBanks.append(0x",Table1[[#This Row],[imgbank]],")")</f>
        <v>reqSprBanks.append(0x04)</v>
      </c>
    </row>
    <row r="206" spans="1:13" x14ac:dyDescent="0.25">
      <c r="A206" s="1">
        <v>204</v>
      </c>
      <c r="B206" s="1" t="s">
        <v>1299</v>
      </c>
      <c r="C206" s="2" t="s">
        <v>138</v>
      </c>
      <c r="D206" s="1" t="s">
        <v>914</v>
      </c>
      <c r="E206" s="3" t="s">
        <v>621</v>
      </c>
      <c r="F206" s="1" t="s">
        <v>433</v>
      </c>
      <c r="G206" s="2" t="s">
        <v>1099</v>
      </c>
      <c r="H206" s="1"/>
      <c r="I206" s="1" t="str">
        <f>Table1[[#This Row],[idh]]</f>
        <v>CC</v>
      </c>
      <c r="J206" s="1" t="str">
        <f>CONCATENATE("an",Table1[[#This Row],[name]],"_ID")</f>
        <v>anDOHMouthShoot_ID</v>
      </c>
      <c r="K206" s="1" t="str">
        <f>CONCATENATE(Table1[[#This Row],[asm]]," = $",Table1[[#This Row],[idh]])</f>
        <v>anDOHMouthShoot_ID = $CC</v>
      </c>
      <c r="L206" s="1" t="str">
        <f>CONCATENATE("animNames.append(""",Table1[[#This Row],[name]],""")")</f>
        <v>animNames.append("DOHMouthShoot")</v>
      </c>
      <c r="M206" s="8" t="str">
        <f>CONCATENATE("reqSprBanks.append(0x",Table1[[#This Row],[imgbank]],")")</f>
        <v>reqSprBanks.append(0x04)</v>
      </c>
    </row>
    <row r="207" spans="1:13" x14ac:dyDescent="0.25">
      <c r="A207" s="1">
        <v>205</v>
      </c>
      <c r="B207" s="1" t="s">
        <v>1300</v>
      </c>
      <c r="C207" s="2" t="s">
        <v>139</v>
      </c>
      <c r="D207" s="1" t="s">
        <v>915</v>
      </c>
      <c r="E207" s="3" t="s">
        <v>622</v>
      </c>
      <c r="F207" s="1" t="s">
        <v>433</v>
      </c>
      <c r="G207" s="2" t="s">
        <v>1099</v>
      </c>
      <c r="H207" s="1"/>
      <c r="I207" s="1" t="str">
        <f>Table1[[#This Row],[idh]]</f>
        <v>CD</v>
      </c>
      <c r="J207" s="1" t="str">
        <f>CONCATENATE("an",Table1[[#This Row],[name]],"_ID")</f>
        <v>anDOHBodyShoot_ID</v>
      </c>
      <c r="K207" s="1" t="str">
        <f>CONCATENATE(Table1[[#This Row],[asm]]," = $",Table1[[#This Row],[idh]])</f>
        <v>anDOHBodyShoot_ID = $CD</v>
      </c>
      <c r="L207" s="1" t="str">
        <f>CONCATENATE("animNames.append(""",Table1[[#This Row],[name]],""")")</f>
        <v>animNames.append("DOHBodyShoot")</v>
      </c>
      <c r="M207" s="8" t="str">
        <f>CONCATENATE("reqSprBanks.append(0x",Table1[[#This Row],[imgbank]],")")</f>
        <v>reqSprBanks.append(0x04)</v>
      </c>
    </row>
    <row r="208" spans="1:13" x14ac:dyDescent="0.25">
      <c r="A208" s="1">
        <v>206</v>
      </c>
      <c r="B208" s="1" t="s">
        <v>1301</v>
      </c>
      <c r="C208" s="2" t="s">
        <v>140</v>
      </c>
      <c r="D208" s="4" t="s">
        <v>1542</v>
      </c>
      <c r="E208" s="3" t="s">
        <v>1544</v>
      </c>
      <c r="F208" s="1" t="s">
        <v>437</v>
      </c>
      <c r="G208" s="2" t="s">
        <v>1105</v>
      </c>
      <c r="H208" s="1"/>
      <c r="I208" s="1" t="str">
        <f>Table1[[#This Row],[idh]]</f>
        <v>CE</v>
      </c>
      <c r="J208" s="1" t="str">
        <f>CONCATENATE("an",Table1[[#This Row],[name]],"_ID")</f>
        <v>anRuckusLAlt_ID</v>
      </c>
      <c r="K208" s="1" t="str">
        <f>CONCATENATE(Table1[[#This Row],[asm]]," = $",Table1[[#This Row],[idh]])</f>
        <v>anRuckusLAlt_ID = $CE</v>
      </c>
      <c r="L208" s="1" t="str">
        <f>CONCATENATE("animNames.append(""",Table1[[#This Row],[name]],""")")</f>
        <v>animNames.append("RuckusLAlt")</v>
      </c>
      <c r="M208" s="8" t="str">
        <f>CONCATENATE("reqSprBanks.append(0x",Table1[[#This Row],[imgbank]],")")</f>
        <v>reqSprBanks.append(0x0A)</v>
      </c>
    </row>
    <row r="209" spans="1:13" x14ac:dyDescent="0.25">
      <c r="A209" s="1">
        <v>207</v>
      </c>
      <c r="B209" s="1" t="s">
        <v>1302</v>
      </c>
      <c r="C209" s="2" t="s">
        <v>141</v>
      </c>
      <c r="D209" s="4" t="s">
        <v>1543</v>
      </c>
      <c r="E209" s="3" t="s">
        <v>1545</v>
      </c>
      <c r="F209" s="1" t="s">
        <v>437</v>
      </c>
      <c r="G209" s="2" t="s">
        <v>1105</v>
      </c>
      <c r="H209" s="1"/>
      <c r="I209" s="1" t="str">
        <f>Table1[[#This Row],[idh]]</f>
        <v>CF</v>
      </c>
      <c r="J209" s="1" t="str">
        <f>CONCATENATE("an",Table1[[#This Row],[name]],"_ID")</f>
        <v>anRuckusRAlt_ID</v>
      </c>
      <c r="K209" s="1" t="str">
        <f>CONCATENATE(Table1[[#This Row],[asm]]," = $",Table1[[#This Row],[idh]])</f>
        <v>anRuckusRAlt_ID = $CF</v>
      </c>
      <c r="L209" s="1" t="str">
        <f>CONCATENATE("animNames.append(""",Table1[[#This Row],[name]],""")")</f>
        <v>animNames.append("RuckusRAlt")</v>
      </c>
      <c r="M209" s="8" t="str">
        <f>CONCATENATE("reqSprBanks.append(0x",Table1[[#This Row],[imgbank]],")")</f>
        <v>reqSprBanks.append(0x0A)</v>
      </c>
    </row>
    <row r="210" spans="1:13" x14ac:dyDescent="0.25">
      <c r="A210" s="1">
        <v>208</v>
      </c>
      <c r="B210" s="1" t="s">
        <v>1303</v>
      </c>
      <c r="C210" s="2" t="s">
        <v>142</v>
      </c>
      <c r="D210" s="4" t="s">
        <v>916</v>
      </c>
      <c r="E210" s="3" t="s">
        <v>623</v>
      </c>
      <c r="F210" s="1" t="s">
        <v>437</v>
      </c>
      <c r="G210" s="2" t="s">
        <v>1105</v>
      </c>
      <c r="H210" s="1"/>
      <c r="I210" s="1" t="str">
        <f>Table1[[#This Row],[idh]]</f>
        <v>D0</v>
      </c>
      <c r="J210" s="1" t="str">
        <f>CONCATENATE("an",Table1[[#This Row],[name]],"_ID")</f>
        <v>anRuckusL_ID</v>
      </c>
      <c r="K210" s="1" t="str">
        <f>CONCATENATE(Table1[[#This Row],[asm]]," = $",Table1[[#This Row],[idh]])</f>
        <v>anRuckusL_ID = $D0</v>
      </c>
      <c r="L210" s="1" t="str">
        <f>CONCATENATE("animNames.append(""",Table1[[#This Row],[name]],""")")</f>
        <v>animNames.append("RuckusL")</v>
      </c>
      <c r="M210" s="8" t="str">
        <f>CONCATENATE("reqSprBanks.append(0x",Table1[[#This Row],[imgbank]],")")</f>
        <v>reqSprBanks.append(0x0A)</v>
      </c>
    </row>
    <row r="211" spans="1:13" x14ac:dyDescent="0.25">
      <c r="A211" s="1">
        <v>209</v>
      </c>
      <c r="B211" s="1" t="s">
        <v>1304</v>
      </c>
      <c r="C211" s="2" t="s">
        <v>143</v>
      </c>
      <c r="D211" s="4" t="s">
        <v>917</v>
      </c>
      <c r="E211" s="3" t="s">
        <v>624</v>
      </c>
      <c r="F211" s="1" t="s">
        <v>437</v>
      </c>
      <c r="G211" s="2" t="s">
        <v>1105</v>
      </c>
      <c r="H211" s="1"/>
      <c r="I211" s="1" t="str">
        <f>Table1[[#This Row],[idh]]</f>
        <v>D1</v>
      </c>
      <c r="J211" s="1" t="str">
        <f>CONCATENATE("an",Table1[[#This Row],[name]],"_ID")</f>
        <v>anRuckusR_ID</v>
      </c>
      <c r="K211" s="1" t="str">
        <f>CONCATENATE(Table1[[#This Row],[asm]]," = $",Table1[[#This Row],[idh]])</f>
        <v>anRuckusR_ID = $D1</v>
      </c>
      <c r="L211" s="1" t="str">
        <f>CONCATENATE("animNames.append(""",Table1[[#This Row],[name]],""")")</f>
        <v>animNames.append("RuckusR")</v>
      </c>
      <c r="M211" s="8" t="str">
        <f>CONCATENATE("reqSprBanks.append(0x",Table1[[#This Row],[imgbank]],")")</f>
        <v>reqSprBanks.append(0x0A)</v>
      </c>
    </row>
    <row r="212" spans="1:13" x14ac:dyDescent="0.25">
      <c r="A212" s="1">
        <v>210</v>
      </c>
      <c r="B212" s="1" t="s">
        <v>1305</v>
      </c>
      <c r="C212" s="2" t="s">
        <v>144</v>
      </c>
      <c r="D212" s="1" t="s">
        <v>918</v>
      </c>
      <c r="E212" s="3" t="s">
        <v>625</v>
      </c>
      <c r="F212" s="1" t="s">
        <v>439</v>
      </c>
      <c r="G212" s="2" t="s">
        <v>1588</v>
      </c>
      <c r="H212" s="1"/>
      <c r="I212" s="1" t="str">
        <f>Table1[[#This Row],[idh]]</f>
        <v>D2</v>
      </c>
      <c r="J212" s="1" t="str">
        <f>CONCATENATE("an",Table1[[#This Row],[name]],"_ID")</f>
        <v>anPlayerGameOver_ID</v>
      </c>
      <c r="K212" s="1" t="str">
        <f>CONCATENATE(Table1[[#This Row],[asm]]," = $",Table1[[#This Row],[idh]])</f>
        <v>anPlayerGameOver_ID = $D2</v>
      </c>
      <c r="L212" s="1" t="str">
        <f>CONCATENATE("animNames.append(""",Table1[[#This Row],[name]],""")")</f>
        <v>animNames.append("PlayerGameOver")</v>
      </c>
      <c r="M212" s="8" t="str">
        <f>CONCATENATE("reqSprBanks.append(0x",Table1[[#This Row],[imgbank]],")")</f>
        <v>reqSprBanks.append(0x04,0A)</v>
      </c>
    </row>
    <row r="213" spans="1:13" x14ac:dyDescent="0.25">
      <c r="A213" s="1">
        <v>211</v>
      </c>
      <c r="B213" s="1" t="s">
        <v>1306</v>
      </c>
      <c r="C213" s="2" t="s">
        <v>145</v>
      </c>
      <c r="D213" s="1" t="s">
        <v>919</v>
      </c>
      <c r="E213" s="3" t="s">
        <v>626</v>
      </c>
      <c r="F213" s="1" t="s">
        <v>439</v>
      </c>
      <c r="G213" s="2" t="s">
        <v>1588</v>
      </c>
      <c r="H213" s="1"/>
      <c r="I213" s="1" t="str">
        <f>Table1[[#This Row],[idh]]</f>
        <v>D3</v>
      </c>
      <c r="J213" s="1" t="str">
        <f>CONCATENATE("an",Table1[[#This Row],[name]],"_ID")</f>
        <v>anPlayerContinue_ID</v>
      </c>
      <c r="K213" s="1" t="str">
        <f>CONCATENATE(Table1[[#This Row],[asm]]," = $",Table1[[#This Row],[idh]])</f>
        <v>anPlayerContinue_ID = $D3</v>
      </c>
      <c r="L213" s="1" t="str">
        <f>CONCATENATE("animNames.append(""",Table1[[#This Row],[name]],""")")</f>
        <v>animNames.append("PlayerContinue")</v>
      </c>
      <c r="M213" s="8" t="str">
        <f>CONCATENATE("reqSprBanks.append(0x",Table1[[#This Row],[imgbank]],")")</f>
        <v>reqSprBanks.append(0x04,0A)</v>
      </c>
    </row>
    <row r="214" spans="1:13" x14ac:dyDescent="0.25">
      <c r="A214" s="1">
        <v>212</v>
      </c>
      <c r="B214" s="1" t="s">
        <v>1307</v>
      </c>
      <c r="C214" s="2" t="s">
        <v>146</v>
      </c>
      <c r="D214" s="1" t="s">
        <v>920</v>
      </c>
      <c r="E214" s="3" t="s">
        <v>627</v>
      </c>
      <c r="F214" s="1" t="s">
        <v>436</v>
      </c>
      <c r="G214" s="2" t="s">
        <v>1105</v>
      </c>
      <c r="H214" s="1"/>
      <c r="I214" s="1" t="str">
        <f>Table1[[#This Row],[idh]]</f>
        <v>D4</v>
      </c>
      <c r="J214" s="1" t="str">
        <f>CONCATENATE("an",Table1[[#This Row],[name]],"_ID")</f>
        <v>anRounderReward_ID</v>
      </c>
      <c r="K214" s="1" t="str">
        <f>CONCATENATE(Table1[[#This Row],[asm]]," = $",Table1[[#This Row],[idh]])</f>
        <v>anRounderReward_ID = $D4</v>
      </c>
      <c r="L214" s="1" t="str">
        <f>CONCATENATE("animNames.append(""",Table1[[#This Row],[name]],""")")</f>
        <v>animNames.append("RounderReward")</v>
      </c>
      <c r="M214" s="8" t="str">
        <f>CONCATENATE("reqSprBanks.append(0x",Table1[[#This Row],[imgbank]],")")</f>
        <v>reqSprBanks.append(0x0A)</v>
      </c>
    </row>
    <row r="215" spans="1:13" x14ac:dyDescent="0.25">
      <c r="A215" s="1">
        <v>213</v>
      </c>
      <c r="B215" s="1" t="s">
        <v>1308</v>
      </c>
      <c r="C215" s="2" t="s">
        <v>345</v>
      </c>
      <c r="D215" s="1" t="s">
        <v>921</v>
      </c>
      <c r="E215" s="3" t="s">
        <v>628</v>
      </c>
      <c r="F215" s="1" t="s">
        <v>419</v>
      </c>
      <c r="G215" s="2" t="s">
        <v>1099</v>
      </c>
      <c r="H215" s="1"/>
      <c r="I215" s="1" t="str">
        <f>Table1[[#This Row],[idh]]</f>
        <v>D5</v>
      </c>
      <c r="J215" s="1" t="str">
        <f>CONCATENATE("an",Table1[[#This Row],[name]],"_ID")</f>
        <v>anNeedlerExposed_ID</v>
      </c>
      <c r="K215" s="1" t="str">
        <f>CONCATENATE(Table1[[#This Row],[asm]]," = $",Table1[[#This Row],[idh]])</f>
        <v>anNeedlerExposed_ID = $D5</v>
      </c>
      <c r="L215" s="1" t="str">
        <f>CONCATENATE("animNames.append(""",Table1[[#This Row],[name]],""")")</f>
        <v>animNames.append("NeedlerExposed")</v>
      </c>
      <c r="M215" s="8" t="str">
        <f>CONCATENATE("reqSprBanks.append(0x",Table1[[#This Row],[imgbank]],")")</f>
        <v>reqSprBanks.append(0x04)</v>
      </c>
    </row>
    <row r="216" spans="1:13" x14ac:dyDescent="0.25">
      <c r="A216" s="1">
        <v>214</v>
      </c>
      <c r="B216" s="1" t="s">
        <v>1309</v>
      </c>
      <c r="C216" s="2" t="s">
        <v>147</v>
      </c>
      <c r="D216" s="1" t="s">
        <v>922</v>
      </c>
      <c r="E216" s="3" t="s">
        <v>629</v>
      </c>
      <c r="F216" s="1" t="s">
        <v>440</v>
      </c>
      <c r="G216" s="2" t="s">
        <v>1099</v>
      </c>
      <c r="H216" s="1"/>
      <c r="I216" s="1" t="str">
        <f>Table1[[#This Row],[idh]]</f>
        <v>D6</v>
      </c>
      <c r="J216" s="1" t="str">
        <f>CONCATENATE("an",Table1[[#This Row],[name]],"_ID")</f>
        <v>anSpikeBall_ID</v>
      </c>
      <c r="K216" s="1" t="str">
        <f>CONCATENATE(Table1[[#This Row],[asm]]," = $",Table1[[#This Row],[idh]])</f>
        <v>anSpikeBall_ID = $D6</v>
      </c>
      <c r="L216" s="1" t="str">
        <f>CONCATENATE("animNames.append(""",Table1[[#This Row],[name]],""")")</f>
        <v>animNames.append("SpikeBall")</v>
      </c>
      <c r="M216" s="8" t="str">
        <f>CONCATENATE("reqSprBanks.append(0x",Table1[[#This Row],[imgbank]],")")</f>
        <v>reqSprBanks.append(0x04)</v>
      </c>
    </row>
    <row r="217" spans="1:13" x14ac:dyDescent="0.25">
      <c r="A217" s="1">
        <v>215</v>
      </c>
      <c r="B217" s="1" t="s">
        <v>1310</v>
      </c>
      <c r="C217" s="2" t="s">
        <v>148</v>
      </c>
      <c r="D217" s="1" t="s">
        <v>923</v>
      </c>
      <c r="E217" s="3" t="s">
        <v>630</v>
      </c>
      <c r="F217" s="1" t="s">
        <v>435</v>
      </c>
      <c r="G217" s="2" t="s">
        <v>1099</v>
      </c>
      <c r="H217" s="1"/>
      <c r="I217" s="1" t="str">
        <f>Table1[[#This Row],[idh]]</f>
        <v>D7</v>
      </c>
      <c r="J217" s="1" t="str">
        <f>CONCATENATE("an",Table1[[#This Row],[name]],"_ID")</f>
        <v>anChuckerDie_ID</v>
      </c>
      <c r="K217" s="1" t="str">
        <f>CONCATENATE(Table1[[#This Row],[asm]]," = $",Table1[[#This Row],[idh]])</f>
        <v>anChuckerDie_ID = $D7</v>
      </c>
      <c r="L217" s="1" t="str">
        <f>CONCATENATE("animNames.append(""",Table1[[#This Row],[name]],""")")</f>
        <v>animNames.append("ChuckerDie")</v>
      </c>
      <c r="M217" s="8" t="str">
        <f>CONCATENATE("reqSprBanks.append(0x",Table1[[#This Row],[imgbank]],")")</f>
        <v>reqSprBanks.append(0x04)</v>
      </c>
    </row>
    <row r="218" spans="1:13" x14ac:dyDescent="0.25">
      <c r="A218" s="1">
        <v>216</v>
      </c>
      <c r="B218" s="1" t="s">
        <v>1311</v>
      </c>
      <c r="C218" s="2" t="s">
        <v>149</v>
      </c>
      <c r="D218" s="1" t="s">
        <v>924</v>
      </c>
      <c r="E218" s="3" t="s">
        <v>631</v>
      </c>
      <c r="F218" s="1" t="s">
        <v>441</v>
      </c>
      <c r="G218" s="2" t="s">
        <v>1105</v>
      </c>
      <c r="H218" s="1"/>
      <c r="I218" s="1" t="str">
        <f>Table1[[#This Row],[idh]]</f>
        <v>D8</v>
      </c>
      <c r="J218" s="1" t="str">
        <f>CONCATENATE("an",Table1[[#This Row],[name]],"_ID")</f>
        <v>anSkullFireR_ID</v>
      </c>
      <c r="K218" s="1" t="str">
        <f>CONCATENATE(Table1[[#This Row],[asm]]," = $",Table1[[#This Row],[idh]])</f>
        <v>anSkullFireR_ID = $D8</v>
      </c>
      <c r="L218" s="1" t="str">
        <f>CONCATENATE("animNames.append(""",Table1[[#This Row],[name]],""")")</f>
        <v>animNames.append("SkullFireR")</v>
      </c>
      <c r="M218" s="8" t="str">
        <f>CONCATENATE("reqSprBanks.append(0x",Table1[[#This Row],[imgbank]],")")</f>
        <v>reqSprBanks.append(0x0A)</v>
      </c>
    </row>
    <row r="219" spans="1:13" x14ac:dyDescent="0.25">
      <c r="A219" s="1">
        <v>217</v>
      </c>
      <c r="B219" s="1" t="s">
        <v>1312</v>
      </c>
      <c r="C219" s="2" t="s">
        <v>150</v>
      </c>
      <c r="D219" s="1" t="s">
        <v>925</v>
      </c>
      <c r="E219" s="3" t="s">
        <v>632</v>
      </c>
      <c r="F219" s="1" t="s">
        <v>441</v>
      </c>
      <c r="G219" s="2" t="s">
        <v>1105</v>
      </c>
      <c r="H219" s="1"/>
      <c r="I219" s="1" t="str">
        <f>Table1[[#This Row],[idh]]</f>
        <v>D9</v>
      </c>
      <c r="J219" s="1" t="str">
        <f>CONCATENATE("an",Table1[[#This Row],[name]],"_ID")</f>
        <v>anSkullR_ID</v>
      </c>
      <c r="K219" s="1" t="str">
        <f>CONCATENATE(Table1[[#This Row],[asm]]," = $",Table1[[#This Row],[idh]])</f>
        <v>anSkullR_ID = $D9</v>
      </c>
      <c r="L219" s="1" t="str">
        <f>CONCATENATE("animNames.append(""",Table1[[#This Row],[name]],""")")</f>
        <v>animNames.append("SkullR")</v>
      </c>
      <c r="M219" s="8" t="str">
        <f>CONCATENATE("reqSprBanks.append(0x",Table1[[#This Row],[imgbank]],")")</f>
        <v>reqSprBanks.append(0x0A)</v>
      </c>
    </row>
    <row r="220" spans="1:13" x14ac:dyDescent="0.25">
      <c r="A220" s="1">
        <v>218</v>
      </c>
      <c r="B220" s="1" t="s">
        <v>1313</v>
      </c>
      <c r="C220" s="2" t="s">
        <v>151</v>
      </c>
      <c r="D220" s="1" t="s">
        <v>926</v>
      </c>
      <c r="E220" s="3" t="s">
        <v>633</v>
      </c>
      <c r="F220" s="1" t="s">
        <v>441</v>
      </c>
      <c r="G220" s="2" t="s">
        <v>1105</v>
      </c>
      <c r="H220" s="1"/>
      <c r="I220" s="1" t="str">
        <f>Table1[[#This Row],[idh]]</f>
        <v>DA</v>
      </c>
      <c r="J220" s="1" t="str">
        <f>CONCATENATE("an",Table1[[#This Row],[name]],"_ID")</f>
        <v>anBurningSkullR_ID</v>
      </c>
      <c r="K220" s="1" t="str">
        <f>CONCATENATE(Table1[[#This Row],[asm]]," = $",Table1[[#This Row],[idh]])</f>
        <v>anBurningSkullR_ID = $DA</v>
      </c>
      <c r="L220" s="1" t="str">
        <f>CONCATENATE("animNames.append(""",Table1[[#This Row],[name]],""")")</f>
        <v>animNames.append("BurningSkullR")</v>
      </c>
      <c r="M220" s="8" t="str">
        <f>CONCATENATE("reqSprBanks.append(0x",Table1[[#This Row],[imgbank]],")")</f>
        <v>reqSprBanks.append(0x0A)</v>
      </c>
    </row>
    <row r="221" spans="1:13" x14ac:dyDescent="0.25">
      <c r="A221" s="1">
        <v>219</v>
      </c>
      <c r="B221" s="1" t="s">
        <v>1314</v>
      </c>
      <c r="C221" s="2" t="s">
        <v>152</v>
      </c>
      <c r="D221" s="1" t="s">
        <v>442</v>
      </c>
      <c r="E221" s="3" t="s">
        <v>634</v>
      </c>
      <c r="F221" s="1" t="s">
        <v>442</v>
      </c>
      <c r="G221" s="2" t="s">
        <v>1105</v>
      </c>
      <c r="H221" s="1"/>
      <c r="I221" s="1" t="str">
        <f>Table1[[#This Row],[idh]]</f>
        <v>DB</v>
      </c>
      <c r="J221" s="1" t="str">
        <f>CONCATENATE("an",Table1[[#This Row],[name]],"_ID")</f>
        <v>anMadMonkey_ID</v>
      </c>
      <c r="K221" s="1" t="str">
        <f>CONCATENATE(Table1[[#This Row],[asm]]," = $",Table1[[#This Row],[idh]])</f>
        <v>anMadMonkey_ID = $DB</v>
      </c>
      <c r="L221" s="1" t="str">
        <f>CONCATENATE("animNames.append(""",Table1[[#This Row],[name]],""")")</f>
        <v>animNames.append("MadMonkey")</v>
      </c>
      <c r="M221" s="8" t="str">
        <f>CONCATENATE("reqSprBanks.append(0x",Table1[[#This Row],[imgbank]],")")</f>
        <v>reqSprBanks.append(0x0A)</v>
      </c>
    </row>
    <row r="222" spans="1:13" x14ac:dyDescent="0.25">
      <c r="A222" s="1">
        <v>220</v>
      </c>
      <c r="B222" s="1" t="s">
        <v>1315</v>
      </c>
      <c r="C222" s="2" t="s">
        <v>153</v>
      </c>
      <c r="D222" s="1" t="s">
        <v>930</v>
      </c>
      <c r="E222" s="3" t="s">
        <v>636</v>
      </c>
      <c r="F222" s="1" t="s">
        <v>442</v>
      </c>
      <c r="G222" s="2" t="s">
        <v>1105</v>
      </c>
      <c r="H222" s="1"/>
      <c r="I222" s="1" t="str">
        <f>Table1[[#This Row],[idh]]</f>
        <v>DC</v>
      </c>
      <c r="J222" s="1" t="str">
        <f>CONCATENATE("an",Table1[[#This Row],[name]],"_ID")</f>
        <v>anMadMonkeyStartJump_ID</v>
      </c>
      <c r="K222" s="1" t="str">
        <f>CONCATENATE(Table1[[#This Row],[asm]]," = $",Table1[[#This Row],[idh]])</f>
        <v>anMadMonkeyStartJump_ID = $DC</v>
      </c>
      <c r="L222" s="1" t="str">
        <f>CONCATENATE("animNames.append(""",Table1[[#This Row],[name]],""")")</f>
        <v>animNames.append("MadMonkeyStartJump")</v>
      </c>
      <c r="M222" s="8" t="str">
        <f>CONCATENATE("reqSprBanks.append(0x",Table1[[#This Row],[imgbank]],")")</f>
        <v>reqSprBanks.append(0x0A)</v>
      </c>
    </row>
    <row r="223" spans="1:13" x14ac:dyDescent="0.25">
      <c r="A223" s="1">
        <v>221</v>
      </c>
      <c r="B223" s="1" t="s">
        <v>1316</v>
      </c>
      <c r="C223" s="2" t="s">
        <v>154</v>
      </c>
      <c r="D223" s="1" t="s">
        <v>931</v>
      </c>
      <c r="E223" s="3" t="s">
        <v>635</v>
      </c>
      <c r="F223" s="1" t="s">
        <v>442</v>
      </c>
      <c r="G223" s="2" t="s">
        <v>1105</v>
      </c>
      <c r="H223" s="1"/>
      <c r="I223" s="1" t="str">
        <f>Table1[[#This Row],[idh]]</f>
        <v>DD</v>
      </c>
      <c r="J223" s="1" t="str">
        <f>CONCATENATE("an",Table1[[#This Row],[name]],"_ID")</f>
        <v>anMadMonkeyJump_ID</v>
      </c>
      <c r="K223" s="1" t="str">
        <f>CONCATENATE(Table1[[#This Row],[asm]]," = $",Table1[[#This Row],[idh]])</f>
        <v>anMadMonkeyJump_ID = $DD</v>
      </c>
      <c r="L223" s="1" t="str">
        <f>CONCATENATE("animNames.append(""",Table1[[#This Row],[name]],""")")</f>
        <v>animNames.append("MadMonkeyJump")</v>
      </c>
      <c r="M223" s="8" t="str">
        <f>CONCATENATE("reqSprBanks.append(0x",Table1[[#This Row],[imgbank]],")")</f>
        <v>reqSprBanks.append(0x0A)</v>
      </c>
    </row>
    <row r="224" spans="1:13" x14ac:dyDescent="0.25">
      <c r="A224" s="1">
        <v>222</v>
      </c>
      <c r="B224" s="1" t="s">
        <v>1317</v>
      </c>
      <c r="C224" s="2" t="s">
        <v>155</v>
      </c>
      <c r="D224" s="1" t="s">
        <v>932</v>
      </c>
      <c r="E224" s="3" t="s">
        <v>637</v>
      </c>
      <c r="F224" s="1" t="s">
        <v>442</v>
      </c>
      <c r="G224" s="2" t="s">
        <v>1105</v>
      </c>
      <c r="H224" s="1"/>
      <c r="I224" s="1" t="str">
        <f>Table1[[#This Row],[idh]]</f>
        <v>DE</v>
      </c>
      <c r="J224" s="1" t="str">
        <f>CONCATENATE("an",Table1[[#This Row],[name]],"_ID")</f>
        <v>anMadMonkeyDie_ID</v>
      </c>
      <c r="K224" s="1" t="str">
        <f>CONCATENATE(Table1[[#This Row],[asm]]," = $",Table1[[#This Row],[idh]])</f>
        <v>anMadMonkeyDie_ID = $DE</v>
      </c>
      <c r="L224" s="1" t="str">
        <f>CONCATENATE("animNames.append(""",Table1[[#This Row],[name]],""")")</f>
        <v>animNames.append("MadMonkeyDie")</v>
      </c>
      <c r="M224" s="8" t="str">
        <f>CONCATENATE("reqSprBanks.append(0x",Table1[[#This Row],[imgbank]],")")</f>
        <v>reqSprBanks.append(0x0A)</v>
      </c>
    </row>
    <row r="225" spans="1:13" x14ac:dyDescent="0.25">
      <c r="A225" s="1">
        <v>223</v>
      </c>
      <c r="B225" s="1" t="s">
        <v>1318</v>
      </c>
      <c r="C225" s="2" t="s">
        <v>156</v>
      </c>
      <c r="D225" s="1" t="s">
        <v>436</v>
      </c>
      <c r="E225" s="3" t="s">
        <v>436</v>
      </c>
      <c r="F225" s="1" t="s">
        <v>436</v>
      </c>
      <c r="G225" s="2" t="s">
        <v>1105</v>
      </c>
      <c r="H225" s="1"/>
      <c r="I225" s="1" t="str">
        <f>Table1[[#This Row],[idh]]</f>
        <v>DF</v>
      </c>
      <c r="J225" s="1" t="str">
        <f>CONCATENATE("an",Table1[[#This Row],[name]],"_ID")</f>
        <v>anRounder_ID</v>
      </c>
      <c r="K225" s="1" t="str">
        <f>CONCATENATE(Table1[[#This Row],[asm]]," = $",Table1[[#This Row],[idh]])</f>
        <v>anRounder_ID = $DF</v>
      </c>
      <c r="L225" s="1" t="str">
        <f>CONCATENATE("animNames.append(""",Table1[[#This Row],[name]],""")")</f>
        <v>animNames.append("Rounder")</v>
      </c>
      <c r="M225" s="8" t="str">
        <f>CONCATENATE("reqSprBanks.append(0x",Table1[[#This Row],[imgbank]],")")</f>
        <v>reqSprBanks.append(0x0A)</v>
      </c>
    </row>
    <row r="226" spans="1:13" x14ac:dyDescent="0.25">
      <c r="A226" s="1">
        <v>224</v>
      </c>
      <c r="B226" s="1" t="s">
        <v>1319</v>
      </c>
      <c r="C226" s="2" t="s">
        <v>157</v>
      </c>
      <c r="D226" s="1" t="s">
        <v>1514</v>
      </c>
      <c r="E226" s="3" t="s">
        <v>638</v>
      </c>
      <c r="F226" s="1" t="s">
        <v>436</v>
      </c>
      <c r="G226" s="2" t="s">
        <v>1105</v>
      </c>
      <c r="H226" s="1"/>
      <c r="I226" s="1" t="str">
        <f>Table1[[#This Row],[idh]]</f>
        <v>E0</v>
      </c>
      <c r="J226" s="1" t="str">
        <f>CONCATENATE("an",Table1[[#This Row],[name]],"_ID")</f>
        <v>anRounderFall_ID</v>
      </c>
      <c r="K226" s="1" t="str">
        <f>CONCATENATE(Table1[[#This Row],[asm]]," = $",Table1[[#This Row],[idh]])</f>
        <v>anRounderFall_ID = $E0</v>
      </c>
      <c r="L226" s="1" t="str">
        <f>CONCATENATE("animNames.append(""",Table1[[#This Row],[name]],""")")</f>
        <v>animNames.append("RounderFall")</v>
      </c>
      <c r="M226" s="8" t="str">
        <f>CONCATENATE("reqSprBanks.append(0x",Table1[[#This Row],[imgbank]],")")</f>
        <v>reqSprBanks.append(0x0A)</v>
      </c>
    </row>
    <row r="227" spans="1:13" x14ac:dyDescent="0.25">
      <c r="A227" s="1">
        <v>225</v>
      </c>
      <c r="B227" s="1" t="s">
        <v>1320</v>
      </c>
      <c r="C227" s="2" t="s">
        <v>158</v>
      </c>
      <c r="D227" s="1" t="s">
        <v>933</v>
      </c>
      <c r="E227" s="3" t="s">
        <v>639</v>
      </c>
      <c r="F227" s="1" t="s">
        <v>436</v>
      </c>
      <c r="G227" s="2" t="s">
        <v>1105</v>
      </c>
      <c r="H227" s="1"/>
      <c r="I227" s="1" t="str">
        <f>Table1[[#This Row],[idh]]</f>
        <v>E1</v>
      </c>
      <c r="J227" s="1" t="str">
        <f>CONCATENATE("an",Table1[[#This Row],[name]],"_ID")</f>
        <v>anRounderHang_ID</v>
      </c>
      <c r="K227" s="1" t="str">
        <f>CONCATENATE(Table1[[#This Row],[asm]]," = $",Table1[[#This Row],[idh]])</f>
        <v>anRounderHang_ID = $E1</v>
      </c>
      <c r="L227" s="1" t="str">
        <f>CONCATENATE("animNames.append(""",Table1[[#This Row],[name]],""")")</f>
        <v>animNames.append("RounderHang")</v>
      </c>
      <c r="M227" s="8" t="str">
        <f>CONCATENATE("reqSprBanks.append(0x",Table1[[#This Row],[imgbank]],")")</f>
        <v>reqSprBanks.append(0x0A)</v>
      </c>
    </row>
    <row r="228" spans="1:13" x14ac:dyDescent="0.25">
      <c r="A228" s="1">
        <v>226</v>
      </c>
      <c r="B228" s="1" t="s">
        <v>1321</v>
      </c>
      <c r="C228" s="2" t="s">
        <v>68</v>
      </c>
      <c r="D228" s="1" t="s">
        <v>934</v>
      </c>
      <c r="E228" s="3" t="s">
        <v>640</v>
      </c>
      <c r="F228" s="1" t="s">
        <v>436</v>
      </c>
      <c r="G228" s="2" t="s">
        <v>1105</v>
      </c>
      <c r="H228" s="1" t="s">
        <v>900</v>
      </c>
      <c r="I228" s="1" t="str">
        <f>Table1[[#This Row],[idh]]</f>
        <v>E2</v>
      </c>
      <c r="J228" s="1" t="str">
        <f>CONCATENATE("an",Table1[[#This Row],[name]],"_ID")</f>
        <v>anRounderTrappedAlt_ID</v>
      </c>
      <c r="K228" s="1" t="str">
        <f>CONCATENATE(Table1[[#This Row],[asm]]," = $",Table1[[#This Row],[idh]])</f>
        <v>anRounderTrappedAlt_ID = $E2</v>
      </c>
      <c r="L228" s="1" t="str">
        <f>CONCATENATE("animNames.append(""",Table1[[#This Row],[name]],""")")</f>
        <v>animNames.append("RounderTrappedAlt")</v>
      </c>
      <c r="M228" s="8" t="str">
        <f>CONCATENATE("reqSprBanks.append(0x",Table1[[#This Row],[imgbank]],")")</f>
        <v>reqSprBanks.append(0x0A)</v>
      </c>
    </row>
    <row r="229" spans="1:13" x14ac:dyDescent="0.25">
      <c r="A229" s="1">
        <v>227</v>
      </c>
      <c r="B229" s="1" t="s">
        <v>1322</v>
      </c>
      <c r="C229" s="2" t="s">
        <v>159</v>
      </c>
      <c r="D229" s="1" t="s">
        <v>935</v>
      </c>
      <c r="E229" s="3" t="s">
        <v>641</v>
      </c>
      <c r="F229" s="1" t="s">
        <v>436</v>
      </c>
      <c r="G229" s="2" t="s">
        <v>1105</v>
      </c>
      <c r="H229" s="1"/>
      <c r="I229" s="1" t="str">
        <f>Table1[[#This Row],[idh]]</f>
        <v>E3</v>
      </c>
      <c r="J229" s="1" t="str">
        <f>CONCATENATE("an",Table1[[#This Row],[name]],"_ID")</f>
        <v>anRounderDie_ID</v>
      </c>
      <c r="K229" s="1" t="str">
        <f>CONCATENATE(Table1[[#This Row],[asm]]," = $",Table1[[#This Row],[idh]])</f>
        <v>anRounderDie_ID = $E3</v>
      </c>
      <c r="L229" s="1" t="str">
        <f>CONCATENATE("animNames.append(""",Table1[[#This Row],[name]],""")")</f>
        <v>animNames.append("RounderDie")</v>
      </c>
      <c r="M229" s="8" t="str">
        <f>CONCATENATE("reqSprBanks.append(0x",Table1[[#This Row],[imgbank]],")")</f>
        <v>reqSprBanks.append(0x0A)</v>
      </c>
    </row>
    <row r="230" spans="1:13" x14ac:dyDescent="0.25">
      <c r="A230" s="1">
        <v>228</v>
      </c>
      <c r="B230" s="1" t="s">
        <v>1323</v>
      </c>
      <c r="C230" s="2" t="s">
        <v>160</v>
      </c>
      <c r="D230" s="1" t="s">
        <v>643</v>
      </c>
      <c r="E230" s="3" t="s">
        <v>643</v>
      </c>
      <c r="F230" s="1" t="s">
        <v>443</v>
      </c>
      <c r="G230" s="2" t="s">
        <v>1105</v>
      </c>
      <c r="H230" s="1"/>
      <c r="I230" s="1" t="str">
        <f>Table1[[#This Row],[idh]]</f>
        <v>E4</v>
      </c>
      <c r="J230" s="1" t="str">
        <f>CONCATENATE("an",Table1[[#This Row],[name]],"_ID")</f>
        <v>anRoc_ID</v>
      </c>
      <c r="K230" s="1" t="str">
        <f>CONCATENATE(Table1[[#This Row],[asm]]," = $",Table1[[#This Row],[idh]])</f>
        <v>anRoc_ID = $E4</v>
      </c>
      <c r="L230" s="1" t="str">
        <f>CONCATENATE("animNames.append(""",Table1[[#This Row],[name]],""")")</f>
        <v>animNames.append("Roc")</v>
      </c>
      <c r="M230" s="8" t="str">
        <f>CONCATENATE("reqSprBanks.append(0x",Table1[[#This Row],[imgbank]],")")</f>
        <v>reqSprBanks.append(0x0A)</v>
      </c>
    </row>
    <row r="231" spans="1:13" x14ac:dyDescent="0.25">
      <c r="A231" s="1">
        <v>229</v>
      </c>
      <c r="B231" s="1" t="s">
        <v>1324</v>
      </c>
      <c r="C231" s="2" t="s">
        <v>161</v>
      </c>
      <c r="D231" s="1" t="s">
        <v>936</v>
      </c>
      <c r="E231" s="3" t="s">
        <v>645</v>
      </c>
      <c r="F231" s="1" t="s">
        <v>443</v>
      </c>
      <c r="G231" s="2" t="s">
        <v>1105</v>
      </c>
      <c r="H231" s="1"/>
      <c r="I231" s="1" t="str">
        <f>Table1[[#This Row],[idh]]</f>
        <v>E5</v>
      </c>
      <c r="J231" s="1" t="str">
        <f>CONCATENATE("an",Table1[[#This Row],[name]],"_ID")</f>
        <v>anRocShoot_ID</v>
      </c>
      <c r="K231" s="1" t="str">
        <f>CONCATENATE(Table1[[#This Row],[asm]]," = $",Table1[[#This Row],[idh]])</f>
        <v>anRocShoot_ID = $E5</v>
      </c>
      <c r="L231" s="1" t="str">
        <f>CONCATENATE("animNames.append(""",Table1[[#This Row],[name]],""")")</f>
        <v>animNames.append("RocShoot")</v>
      </c>
      <c r="M231" s="8" t="str">
        <f>CONCATENATE("reqSprBanks.append(0x",Table1[[#This Row],[imgbank]],")")</f>
        <v>reqSprBanks.append(0x0A)</v>
      </c>
    </row>
    <row r="232" spans="1:13" x14ac:dyDescent="0.25">
      <c r="A232" s="1">
        <v>230</v>
      </c>
      <c r="B232" s="1" t="s">
        <v>1325</v>
      </c>
      <c r="C232" s="2" t="s">
        <v>162</v>
      </c>
      <c r="D232" s="1" t="s">
        <v>937</v>
      </c>
      <c r="E232" s="3" t="s">
        <v>644</v>
      </c>
      <c r="F232" s="1" t="s">
        <v>444</v>
      </c>
      <c r="G232" s="2" t="s">
        <v>1105</v>
      </c>
      <c r="H232" s="1"/>
      <c r="I232" s="1" t="str">
        <f>Table1[[#This Row],[idh]]</f>
        <v>E6</v>
      </c>
      <c r="J232" s="1" t="str">
        <f>CONCATENATE("an",Table1[[#This Row],[name]],"_ID")</f>
        <v>anRocMad_ID</v>
      </c>
      <c r="K232" s="1" t="str">
        <f>CONCATENATE(Table1[[#This Row],[asm]]," = $",Table1[[#This Row],[idh]])</f>
        <v>anRocMad_ID = $E6</v>
      </c>
      <c r="L232" s="1" t="str">
        <f>CONCATENATE("animNames.append(""",Table1[[#This Row],[name]],""")")</f>
        <v>animNames.append("RocMad")</v>
      </c>
      <c r="M232" s="8" t="str">
        <f>CONCATENATE("reqSprBanks.append(0x",Table1[[#This Row],[imgbank]],")")</f>
        <v>reqSprBanks.append(0x0A)</v>
      </c>
    </row>
    <row r="233" spans="1:13" x14ac:dyDescent="0.25">
      <c r="A233" s="1">
        <v>231</v>
      </c>
      <c r="B233" s="1" t="s">
        <v>1326</v>
      </c>
      <c r="C233" s="2" t="s">
        <v>163</v>
      </c>
      <c r="D233" s="1" t="s">
        <v>938</v>
      </c>
      <c r="E233" s="3" t="s">
        <v>646</v>
      </c>
      <c r="F233" s="1" t="s">
        <v>444</v>
      </c>
      <c r="G233" s="2" t="s">
        <v>1105</v>
      </c>
      <c r="H233" s="1"/>
      <c r="I233" s="1" t="str">
        <f>Table1[[#This Row],[idh]]</f>
        <v>E7</v>
      </c>
      <c r="J233" s="1" t="str">
        <f>CONCATENATE("an",Table1[[#This Row],[name]],"_ID")</f>
        <v>anRocMadShoot_ID</v>
      </c>
      <c r="K233" s="1" t="str">
        <f>CONCATENATE(Table1[[#This Row],[asm]]," = $",Table1[[#This Row],[idh]])</f>
        <v>anRocMadShoot_ID = $E7</v>
      </c>
      <c r="L233" s="1" t="str">
        <f>CONCATENATE("animNames.append(""",Table1[[#This Row],[name]],""")")</f>
        <v>animNames.append("RocMadShoot")</v>
      </c>
      <c r="M233" s="8" t="str">
        <f>CONCATENATE("reqSprBanks.append(0x",Table1[[#This Row],[imgbank]],")")</f>
        <v>reqSprBanks.append(0x0A)</v>
      </c>
    </row>
    <row r="234" spans="1:13" x14ac:dyDescent="0.25">
      <c r="A234" s="1">
        <v>232</v>
      </c>
      <c r="B234" s="1" t="s">
        <v>1327</v>
      </c>
      <c r="C234" s="2" t="s">
        <v>164</v>
      </c>
      <c r="D234" s="1" t="s">
        <v>939</v>
      </c>
      <c r="E234" s="3" t="s">
        <v>647</v>
      </c>
      <c r="F234" s="1" t="s">
        <v>443</v>
      </c>
      <c r="G234" s="2" t="s">
        <v>1105</v>
      </c>
      <c r="H234" s="1"/>
      <c r="I234" s="1" t="str">
        <f>Table1[[#This Row],[idh]]</f>
        <v>E8</v>
      </c>
      <c r="J234" s="1" t="str">
        <f>CONCATENATE("an",Table1[[#This Row],[name]],"_ID")</f>
        <v>anRocBigLightning_ID</v>
      </c>
      <c r="K234" s="1" t="str">
        <f>CONCATENATE(Table1[[#This Row],[asm]]," = $",Table1[[#This Row],[idh]])</f>
        <v>anRocBigLightning_ID = $E8</v>
      </c>
      <c r="L234" s="1" t="str">
        <f>CONCATENATE("animNames.append(""",Table1[[#This Row],[name]],""")")</f>
        <v>animNames.append("RocBigLightning")</v>
      </c>
      <c r="M234" s="8" t="str">
        <f>CONCATENATE("reqSprBanks.append(0x",Table1[[#This Row],[imgbank]],")")</f>
        <v>reqSprBanks.append(0x0A)</v>
      </c>
    </row>
    <row r="235" spans="1:13" x14ac:dyDescent="0.25">
      <c r="A235" s="1">
        <v>233</v>
      </c>
      <c r="B235" s="1" t="s">
        <v>1328</v>
      </c>
      <c r="C235" s="2" t="s">
        <v>165</v>
      </c>
      <c r="D235" s="4" t="s">
        <v>929</v>
      </c>
      <c r="E235" s="3" t="s">
        <v>649</v>
      </c>
      <c r="F235" s="1" t="s">
        <v>441</v>
      </c>
      <c r="G235" s="2" t="s">
        <v>1105</v>
      </c>
      <c r="H235" s="1"/>
      <c r="I235" s="1" t="str">
        <f>Table1[[#This Row],[idh]]</f>
        <v>E9</v>
      </c>
      <c r="J235" s="1" t="str">
        <f>CONCATENATE("an",Table1[[#This Row],[name]],"_ID")</f>
        <v>anSkullL_ID</v>
      </c>
      <c r="K235" s="1" t="str">
        <f>CONCATENATE(Table1[[#This Row],[asm]]," = $",Table1[[#This Row],[idh]])</f>
        <v>anSkullL_ID = $E9</v>
      </c>
      <c r="L235" s="1" t="str">
        <f>CONCATENATE("animNames.append(""",Table1[[#This Row],[name]],""")")</f>
        <v>animNames.append("SkullL")</v>
      </c>
      <c r="M235" s="8" t="str">
        <f>CONCATENATE("reqSprBanks.append(0x",Table1[[#This Row],[imgbank]],")")</f>
        <v>reqSprBanks.append(0x0A)</v>
      </c>
    </row>
    <row r="236" spans="1:13" x14ac:dyDescent="0.25">
      <c r="A236" s="1">
        <v>234</v>
      </c>
      <c r="B236" s="1" t="s">
        <v>1329</v>
      </c>
      <c r="C236" s="2" t="s">
        <v>166</v>
      </c>
      <c r="D236" s="4" t="s">
        <v>928</v>
      </c>
      <c r="E236" s="3" t="s">
        <v>650</v>
      </c>
      <c r="F236" s="1" t="s">
        <v>441</v>
      </c>
      <c r="G236" s="2" t="s">
        <v>1105</v>
      </c>
      <c r="H236" s="1"/>
      <c r="I236" s="1" t="str">
        <f>Table1[[#This Row],[idh]]</f>
        <v>EA</v>
      </c>
      <c r="J236" s="1" t="str">
        <f>CONCATENATE("an",Table1[[#This Row],[name]],"_ID")</f>
        <v>anBurningSkullL_ID</v>
      </c>
      <c r="K236" s="1" t="str">
        <f>CONCATENATE(Table1[[#This Row],[asm]]," = $",Table1[[#This Row],[idh]])</f>
        <v>anBurningSkullL_ID = $EA</v>
      </c>
      <c r="L236" s="1" t="str">
        <f>CONCATENATE("animNames.append(""",Table1[[#This Row],[name]],""")")</f>
        <v>animNames.append("BurningSkullL")</v>
      </c>
      <c r="M236" s="8" t="str">
        <f>CONCATENATE("reqSprBanks.append(0x",Table1[[#This Row],[imgbank]],")")</f>
        <v>reqSprBanks.append(0x0A)</v>
      </c>
    </row>
    <row r="237" spans="1:13" x14ac:dyDescent="0.25">
      <c r="A237" s="1">
        <v>235</v>
      </c>
      <c r="B237" s="1" t="s">
        <v>1330</v>
      </c>
      <c r="C237" s="2" t="s">
        <v>167</v>
      </c>
      <c r="D237" s="4" t="s">
        <v>927</v>
      </c>
      <c r="E237" s="3" t="s">
        <v>648</v>
      </c>
      <c r="F237" s="1" t="s">
        <v>441</v>
      </c>
      <c r="G237" s="2" t="s">
        <v>1105</v>
      </c>
      <c r="H237" s="1"/>
      <c r="I237" s="1" t="str">
        <f>Table1[[#This Row],[idh]]</f>
        <v>EB</v>
      </c>
      <c r="J237" s="1" t="str">
        <f>CONCATENATE("an",Table1[[#This Row],[name]],"_ID")</f>
        <v>anSkullFireL_ID</v>
      </c>
      <c r="K237" s="1" t="str">
        <f>CONCATENATE(Table1[[#This Row],[asm]]," = $",Table1[[#This Row],[idh]])</f>
        <v>anSkullFireL_ID = $EB</v>
      </c>
      <c r="L237" s="1" t="str">
        <f>CONCATENATE("animNames.append(""",Table1[[#This Row],[name]],""")")</f>
        <v>animNames.append("SkullFireL")</v>
      </c>
      <c r="M237" s="8" t="str">
        <f>CONCATENATE("reqSprBanks.append(0x",Table1[[#This Row],[imgbank]],")")</f>
        <v>reqSprBanks.append(0x0A)</v>
      </c>
    </row>
    <row r="238" spans="1:13" x14ac:dyDescent="0.25">
      <c r="A238" s="1">
        <v>236</v>
      </c>
      <c r="B238" s="1" t="s">
        <v>1331</v>
      </c>
      <c r="C238" s="2" t="s">
        <v>168</v>
      </c>
      <c r="D238" s="1" t="s">
        <v>940</v>
      </c>
      <c r="E238" s="3" t="s">
        <v>651</v>
      </c>
      <c r="F238" s="1" t="s">
        <v>441</v>
      </c>
      <c r="G238" s="2" t="s">
        <v>1105</v>
      </c>
      <c r="H238" s="1"/>
      <c r="I238" s="1" t="str">
        <f>Table1[[#This Row],[idh]]</f>
        <v>EC</v>
      </c>
      <c r="J238" s="1" t="str">
        <f>CONCATENATE("an",Table1[[#This Row],[name]],"_ID")</f>
        <v>anSkullReticle_ID</v>
      </c>
      <c r="K238" s="1" t="str">
        <f>CONCATENATE(Table1[[#This Row],[asm]]," = $",Table1[[#This Row],[idh]])</f>
        <v>anSkullReticle_ID = $EC</v>
      </c>
      <c r="L238" s="1" t="str">
        <f>CONCATENATE("animNames.append(""",Table1[[#This Row],[name]],""")")</f>
        <v>animNames.append("SkullReticle")</v>
      </c>
      <c r="M238" s="8" t="str">
        <f>CONCATENATE("reqSprBanks.append(0x",Table1[[#This Row],[imgbank]],")")</f>
        <v>reqSprBanks.append(0x0A)</v>
      </c>
    </row>
    <row r="239" spans="1:13" x14ac:dyDescent="0.25">
      <c r="A239" s="1">
        <v>237</v>
      </c>
      <c r="B239" s="1" t="s">
        <v>1332</v>
      </c>
      <c r="C239" s="2" t="s">
        <v>169</v>
      </c>
      <c r="D239" s="1" t="s">
        <v>941</v>
      </c>
      <c r="E239" s="3" t="s">
        <v>652</v>
      </c>
      <c r="F239" s="1" t="s">
        <v>441</v>
      </c>
      <c r="G239" s="2" t="s">
        <v>1105</v>
      </c>
      <c r="H239" s="1"/>
      <c r="I239" s="1" t="str">
        <f>Table1[[#This Row],[idh]]</f>
        <v>ED</v>
      </c>
      <c r="J239" s="1" t="str">
        <f>CONCATENATE("an",Table1[[#This Row],[name]],"_ID")</f>
        <v>anSkullHeart_ID</v>
      </c>
      <c r="K239" s="1" t="str">
        <f>CONCATENATE(Table1[[#This Row],[asm]]," = $",Table1[[#This Row],[idh]])</f>
        <v>anSkullHeart_ID = $ED</v>
      </c>
      <c r="L239" s="1" t="str">
        <f>CONCATENATE("animNames.append(""",Table1[[#This Row],[name]],""")")</f>
        <v>animNames.append("SkullHeart")</v>
      </c>
      <c r="M239" s="8" t="str">
        <f>CONCATENATE("reqSprBanks.append(0x",Table1[[#This Row],[imgbank]],")")</f>
        <v>reqSprBanks.append(0x0A)</v>
      </c>
    </row>
    <row r="240" spans="1:13" x14ac:dyDescent="0.25">
      <c r="A240" s="1">
        <v>238</v>
      </c>
      <c r="B240" s="1" t="s">
        <v>1333</v>
      </c>
      <c r="C240" s="2" t="s">
        <v>170</v>
      </c>
      <c r="D240" s="1" t="s">
        <v>942</v>
      </c>
      <c r="E240" s="3" t="s">
        <v>653</v>
      </c>
      <c r="F240" s="1" t="s">
        <v>445</v>
      </c>
      <c r="G240" s="2" t="s">
        <v>1105</v>
      </c>
      <c r="H240" s="1"/>
      <c r="I240" s="1" t="str">
        <f>Table1[[#This Row],[idh]]</f>
        <v>EE</v>
      </c>
      <c r="J240" s="1" t="str">
        <f>CONCATENATE("an",Table1[[#This Row],[name]],"_ID")</f>
        <v>anSuperDrunkL_ID</v>
      </c>
      <c r="K240" s="1" t="str">
        <f>CONCATENATE(Table1[[#This Row],[asm]]," = $",Table1[[#This Row],[idh]])</f>
        <v>anSuperDrunkL_ID = $EE</v>
      </c>
      <c r="L240" s="1" t="str">
        <f>CONCATENATE("animNames.append(""",Table1[[#This Row],[name]],""")")</f>
        <v>animNames.append("SuperDrunkL")</v>
      </c>
      <c r="M240" s="8" t="str">
        <f>CONCATENATE("reqSprBanks.append(0x",Table1[[#This Row],[imgbank]],")")</f>
        <v>reqSprBanks.append(0x0A)</v>
      </c>
    </row>
    <row r="241" spans="1:13" x14ac:dyDescent="0.25">
      <c r="A241" s="1">
        <v>239</v>
      </c>
      <c r="B241" s="1" t="s">
        <v>1334</v>
      </c>
      <c r="C241" s="2" t="s">
        <v>171</v>
      </c>
      <c r="D241" s="1" t="s">
        <v>943</v>
      </c>
      <c r="E241" s="3" t="s">
        <v>654</v>
      </c>
      <c r="F241" s="1" t="s">
        <v>445</v>
      </c>
      <c r="G241" s="2" t="s">
        <v>1105</v>
      </c>
      <c r="H241" s="1"/>
      <c r="I241" s="1" t="str">
        <f>Table1[[#This Row],[idh]]</f>
        <v>EF</v>
      </c>
      <c r="J241" s="1" t="str">
        <f>CONCATENATE("an",Table1[[#This Row],[name]],"_ID")</f>
        <v>anSuperDrunkR_ID</v>
      </c>
      <c r="K241" s="1" t="str">
        <f>CONCATENATE(Table1[[#This Row],[asm]]," = $",Table1[[#This Row],[idh]])</f>
        <v>anSuperDrunkR_ID = $EF</v>
      </c>
      <c r="L241" s="1" t="str">
        <f>CONCATENATE("animNames.append(""",Table1[[#This Row],[name]],""")")</f>
        <v>animNames.append("SuperDrunkR")</v>
      </c>
      <c r="M241" s="8" t="str">
        <f>CONCATENATE("reqSprBanks.append(0x",Table1[[#This Row],[imgbank]],")")</f>
        <v>reqSprBanks.append(0x0A)</v>
      </c>
    </row>
    <row r="242" spans="1:13" x14ac:dyDescent="0.25">
      <c r="A242" s="1">
        <v>240</v>
      </c>
      <c r="B242" s="1" t="s">
        <v>1335</v>
      </c>
      <c r="C242" s="2" t="s">
        <v>172</v>
      </c>
      <c r="D242" s="1" t="s">
        <v>944</v>
      </c>
      <c r="E242" s="3" t="s">
        <v>655</v>
      </c>
      <c r="F242" s="1" t="s">
        <v>445</v>
      </c>
      <c r="G242" s="2" t="s">
        <v>1105</v>
      </c>
      <c r="H242" s="1"/>
      <c r="I242" s="1" t="str">
        <f>Table1[[#This Row],[idh]]</f>
        <v>F0</v>
      </c>
      <c r="J242" s="1" t="str">
        <f>CONCATENATE("an",Table1[[#This Row],[name]],"_ID")</f>
        <v>anSuperDrunkOrb_ID</v>
      </c>
      <c r="K242" s="1" t="str">
        <f>CONCATENATE(Table1[[#This Row],[asm]]," = $",Table1[[#This Row],[idh]])</f>
        <v>anSuperDrunkOrb_ID = $F0</v>
      </c>
      <c r="L242" s="1" t="str">
        <f>CONCATENATE("animNames.append(""",Table1[[#This Row],[name]],""")")</f>
        <v>animNames.append("SuperDrunkOrb")</v>
      </c>
      <c r="M242" s="8" t="str">
        <f>CONCATENATE("reqSprBanks.append(0x",Table1[[#This Row],[imgbank]],")")</f>
        <v>reqSprBanks.append(0x0A)</v>
      </c>
    </row>
    <row r="243" spans="1:13" x14ac:dyDescent="0.25">
      <c r="A243" s="1">
        <v>241</v>
      </c>
      <c r="B243" s="1" t="s">
        <v>1336</v>
      </c>
      <c r="C243" s="2" t="s">
        <v>173</v>
      </c>
      <c r="D243" s="1" t="s">
        <v>945</v>
      </c>
      <c r="E243" s="3" t="s">
        <v>1515</v>
      </c>
      <c r="F243" s="1" t="s">
        <v>445</v>
      </c>
      <c r="G243" s="2" t="s">
        <v>1105</v>
      </c>
      <c r="H243" s="1"/>
      <c r="I243" s="1" t="str">
        <f>Table1[[#This Row],[idh]]</f>
        <v>F1</v>
      </c>
      <c r="J243" s="1" t="str">
        <f>CONCATENATE("an",Table1[[#This Row],[name]],"_ID")</f>
        <v>anSuperDrunkDebrisA_ID</v>
      </c>
      <c r="K243" s="1" t="str">
        <f>CONCATENATE(Table1[[#This Row],[asm]]," = $",Table1[[#This Row],[idh]])</f>
        <v>anSuperDrunkDebrisA_ID = $F1</v>
      </c>
      <c r="L243" s="1" t="str">
        <f>CONCATENATE("animNames.append(""",Table1[[#This Row],[name]],""")")</f>
        <v>animNames.append("SuperDrunkDebrisA")</v>
      </c>
      <c r="M243" s="8" t="str">
        <f>CONCATENATE("reqSprBanks.append(0x",Table1[[#This Row],[imgbank]],")")</f>
        <v>reqSprBanks.append(0x0A)</v>
      </c>
    </row>
    <row r="244" spans="1:13" x14ac:dyDescent="0.25">
      <c r="A244" s="1">
        <v>242</v>
      </c>
      <c r="B244" s="1" t="s">
        <v>1337</v>
      </c>
      <c r="C244" s="2" t="s">
        <v>174</v>
      </c>
      <c r="D244" s="1" t="s">
        <v>946</v>
      </c>
      <c r="E244" s="3" t="s">
        <v>1515</v>
      </c>
      <c r="F244" s="1" t="s">
        <v>445</v>
      </c>
      <c r="G244" s="2" t="s">
        <v>1105</v>
      </c>
      <c r="H244" s="1"/>
      <c r="I244" s="1" t="str">
        <f>Table1[[#This Row],[idh]]</f>
        <v>F2</v>
      </c>
      <c r="J244" s="1" t="str">
        <f>CONCATENATE("an",Table1[[#This Row],[name]],"_ID")</f>
        <v>anSuperDrunkDebrisB_ID</v>
      </c>
      <c r="K244" s="1" t="str">
        <f>CONCATENATE(Table1[[#This Row],[asm]]," = $",Table1[[#This Row],[idh]])</f>
        <v>anSuperDrunkDebrisB_ID = $F2</v>
      </c>
      <c r="L244" s="1" t="str">
        <f>CONCATENATE("animNames.append(""",Table1[[#This Row],[name]],""")")</f>
        <v>animNames.append("SuperDrunkDebrisB")</v>
      </c>
      <c r="M244" s="8" t="str">
        <f>CONCATENATE("reqSprBanks.append(0x",Table1[[#This Row],[imgbank]],")")</f>
        <v>reqSprBanks.append(0x0A)</v>
      </c>
    </row>
    <row r="245" spans="1:13" x14ac:dyDescent="0.25">
      <c r="A245" s="1">
        <v>243</v>
      </c>
      <c r="B245" s="1" t="s">
        <v>1338</v>
      </c>
      <c r="C245" s="2" t="s">
        <v>175</v>
      </c>
      <c r="D245" s="1" t="s">
        <v>947</v>
      </c>
      <c r="E245" s="3" t="s">
        <v>1515</v>
      </c>
      <c r="F245" s="1" t="s">
        <v>445</v>
      </c>
      <c r="G245" s="2" t="s">
        <v>1105</v>
      </c>
      <c r="H245" s="1"/>
      <c r="I245" s="1" t="str">
        <f>Table1[[#This Row],[idh]]</f>
        <v>F3</v>
      </c>
      <c r="J245" s="1" t="str">
        <f>CONCATENATE("an",Table1[[#This Row],[name]],"_ID")</f>
        <v>anSuperDrunkDebrisC_ID</v>
      </c>
      <c r="K245" s="1" t="str">
        <f>CONCATENATE(Table1[[#This Row],[asm]]," = $",Table1[[#This Row],[idh]])</f>
        <v>anSuperDrunkDebrisC_ID = $F3</v>
      </c>
      <c r="L245" s="1" t="str">
        <f>CONCATENATE("animNames.append(""",Table1[[#This Row],[name]],""")")</f>
        <v>animNames.append("SuperDrunkDebrisC")</v>
      </c>
      <c r="M245" s="8" t="str">
        <f>CONCATENATE("reqSprBanks.append(0x",Table1[[#This Row],[imgbank]],")")</f>
        <v>reqSprBanks.append(0x0A)</v>
      </c>
    </row>
    <row r="246" spans="1:13" x14ac:dyDescent="0.25">
      <c r="A246" s="1">
        <v>244</v>
      </c>
      <c r="B246" s="1" t="s">
        <v>1339</v>
      </c>
      <c r="C246" s="2" t="s">
        <v>176</v>
      </c>
      <c r="D246" s="1" t="s">
        <v>948</v>
      </c>
      <c r="E246" s="3" t="s">
        <v>642</v>
      </c>
      <c r="F246" s="1" t="s">
        <v>446</v>
      </c>
      <c r="G246" s="2" t="s">
        <v>1105</v>
      </c>
      <c r="H246" s="1"/>
      <c r="I246" s="1" t="str">
        <f>Table1[[#This Row],[idh]]</f>
        <v>F4</v>
      </c>
      <c r="J246" s="1" t="str">
        <f>CONCATENATE("an",Table1[[#This Row],[name]],"_ID")</f>
        <v>anFinalSkullL_ID</v>
      </c>
      <c r="K246" s="1" t="str">
        <f>CONCATENATE(Table1[[#This Row],[asm]]," = $",Table1[[#This Row],[idh]])</f>
        <v>anFinalSkullL_ID = $F4</v>
      </c>
      <c r="L246" s="1" t="str">
        <f>CONCATENATE("animNames.append(""",Table1[[#This Row],[name]],""")")</f>
        <v>animNames.append("FinalSkullL")</v>
      </c>
      <c r="M246" s="8" t="str">
        <f>CONCATENATE("reqSprBanks.append(0x",Table1[[#This Row],[imgbank]],")")</f>
        <v>reqSprBanks.append(0x0A)</v>
      </c>
    </row>
    <row r="247" spans="1:13" x14ac:dyDescent="0.25">
      <c r="A247" s="1">
        <v>245</v>
      </c>
      <c r="B247" s="1" t="s">
        <v>1340</v>
      </c>
      <c r="C247" s="2" t="s">
        <v>177</v>
      </c>
      <c r="D247" s="1" t="s">
        <v>949</v>
      </c>
      <c r="E247" s="3" t="s">
        <v>656</v>
      </c>
      <c r="F247" s="1" t="s">
        <v>446</v>
      </c>
      <c r="G247" s="2" t="s">
        <v>1105</v>
      </c>
      <c r="H247" s="1"/>
      <c r="I247" s="1" t="str">
        <f>Table1[[#This Row],[idh]]</f>
        <v>F5</v>
      </c>
      <c r="J247" s="1" t="str">
        <f>CONCATENATE("an",Table1[[#This Row],[name]],"_ID")</f>
        <v>anFinalSkullR_ID</v>
      </c>
      <c r="K247" s="1" t="str">
        <f>CONCATENATE(Table1[[#This Row],[asm]]," = $",Table1[[#This Row],[idh]])</f>
        <v>anFinalSkullR_ID = $F5</v>
      </c>
      <c r="L247" s="1" t="str">
        <f>CONCATENATE("animNames.append(""",Table1[[#This Row],[name]],""")")</f>
        <v>animNames.append("FinalSkullR")</v>
      </c>
      <c r="M247" s="8" t="str">
        <f>CONCATENATE("reqSprBanks.append(0x",Table1[[#This Row],[imgbank]],")")</f>
        <v>reqSprBanks.append(0x0A)</v>
      </c>
    </row>
    <row r="248" spans="1:13" x14ac:dyDescent="0.25">
      <c r="A248" s="1">
        <v>246</v>
      </c>
      <c r="B248" s="1" t="s">
        <v>1341</v>
      </c>
      <c r="C248" s="2" t="s">
        <v>178</v>
      </c>
      <c r="D248" s="1" t="s">
        <v>950</v>
      </c>
      <c r="E248" s="3" t="s">
        <v>657</v>
      </c>
      <c r="F248" s="1" t="s">
        <v>446</v>
      </c>
      <c r="G248" s="2" t="s">
        <v>1105</v>
      </c>
      <c r="H248" s="1"/>
      <c r="I248" s="1" t="str">
        <f>Table1[[#This Row],[idh]]</f>
        <v>F6</v>
      </c>
      <c r="J248" s="1" t="str">
        <f>CONCATENATE("an",Table1[[#This Row],[name]],"_ID")</f>
        <v>anFinalSkullJumpL_ID</v>
      </c>
      <c r="K248" s="1" t="str">
        <f>CONCATENATE(Table1[[#This Row],[asm]]," = $",Table1[[#This Row],[idh]])</f>
        <v>anFinalSkullJumpL_ID = $F6</v>
      </c>
      <c r="L248" s="1" t="str">
        <f>CONCATENATE("animNames.append(""",Table1[[#This Row],[name]],""")")</f>
        <v>animNames.append("FinalSkullJumpL")</v>
      </c>
      <c r="M248" s="8" t="str">
        <f>CONCATENATE("reqSprBanks.append(0x",Table1[[#This Row],[imgbank]],")")</f>
        <v>reqSprBanks.append(0x0A)</v>
      </c>
    </row>
    <row r="249" spans="1:13" x14ac:dyDescent="0.25">
      <c r="A249" s="1">
        <v>247</v>
      </c>
      <c r="B249" s="1" t="s">
        <v>1342</v>
      </c>
      <c r="C249" s="2" t="s">
        <v>179</v>
      </c>
      <c r="D249" s="1" t="s">
        <v>951</v>
      </c>
      <c r="E249" s="3" t="s">
        <v>658</v>
      </c>
      <c r="F249" s="1" t="s">
        <v>446</v>
      </c>
      <c r="G249" s="2" t="s">
        <v>1105</v>
      </c>
      <c r="H249" s="1"/>
      <c r="I249" s="1" t="str">
        <f>Table1[[#This Row],[idh]]</f>
        <v>F7</v>
      </c>
      <c r="J249" s="1" t="str">
        <f>CONCATENATE("an",Table1[[#This Row],[name]],"_ID")</f>
        <v>anFinalSkullJumpR_ID</v>
      </c>
      <c r="K249" s="1" t="str">
        <f>CONCATENATE(Table1[[#This Row],[asm]]," = $",Table1[[#This Row],[idh]])</f>
        <v>anFinalSkullJumpR_ID = $F7</v>
      </c>
      <c r="L249" s="1" t="str">
        <f>CONCATENATE("animNames.append(""",Table1[[#This Row],[name]],""")")</f>
        <v>animNames.append("FinalSkullJumpR")</v>
      </c>
      <c r="M249" s="8" t="str">
        <f>CONCATENATE("reqSprBanks.append(0x",Table1[[#This Row],[imgbank]],")")</f>
        <v>reqSprBanks.append(0x0A)</v>
      </c>
    </row>
    <row r="250" spans="1:13" x14ac:dyDescent="0.25">
      <c r="A250" s="1">
        <v>248</v>
      </c>
      <c r="B250" s="1" t="s">
        <v>1343</v>
      </c>
      <c r="C250" s="2" t="s">
        <v>180</v>
      </c>
      <c r="D250" s="1" t="s">
        <v>952</v>
      </c>
      <c r="E250" s="3" t="s">
        <v>659</v>
      </c>
      <c r="F250" s="1" t="s">
        <v>447</v>
      </c>
      <c r="G250" s="2" t="s">
        <v>1105</v>
      </c>
      <c r="H250" s="1"/>
      <c r="I250" s="1" t="str">
        <f>Table1[[#This Row],[idh]]</f>
        <v>F8</v>
      </c>
      <c r="J250" s="1" t="str">
        <f>CONCATENATE("an",Table1[[#This Row],[name]],"_ID")</f>
        <v>anFinalSkullDie_ID</v>
      </c>
      <c r="K250" s="1" t="str">
        <f>CONCATENATE(Table1[[#This Row],[asm]]," = $",Table1[[#This Row],[idh]])</f>
        <v>anFinalSkullDie_ID = $F8</v>
      </c>
      <c r="L250" s="1" t="str">
        <f>CONCATENATE("animNames.append(""",Table1[[#This Row],[name]],""")")</f>
        <v>animNames.append("FinalSkullDie")</v>
      </c>
      <c r="M250" s="8" t="str">
        <f>CONCATENATE("reqSprBanks.append(0x",Table1[[#This Row],[imgbank]],")")</f>
        <v>reqSprBanks.append(0x0A)</v>
      </c>
    </row>
    <row r="251" spans="1:13" x14ac:dyDescent="0.25">
      <c r="A251" s="1">
        <v>249</v>
      </c>
      <c r="B251" s="1" t="s">
        <v>1344</v>
      </c>
      <c r="C251" s="2" t="s">
        <v>181</v>
      </c>
      <c r="D251" s="1" t="s">
        <v>953</v>
      </c>
      <c r="E251" s="3" t="s">
        <v>660</v>
      </c>
      <c r="F251" s="1" t="s">
        <v>437</v>
      </c>
      <c r="G251" s="2" t="s">
        <v>1105</v>
      </c>
      <c r="H251" s="1"/>
      <c r="I251" s="1" t="str">
        <f>Table1[[#This Row],[idh]]</f>
        <v>F9</v>
      </c>
      <c r="J251" s="1" t="str">
        <f>CONCATENATE("an",Table1[[#This Row],[name]],"_ID")</f>
        <v>anRuckusBomb_ID</v>
      </c>
      <c r="K251" s="1" t="str">
        <f>CONCATENATE(Table1[[#This Row],[asm]]," = $",Table1[[#This Row],[idh]])</f>
        <v>anRuckusBomb_ID = $F9</v>
      </c>
      <c r="L251" s="1" t="str">
        <f>CONCATENATE("animNames.append(""",Table1[[#This Row],[name]],""")")</f>
        <v>animNames.append("RuckusBomb")</v>
      </c>
      <c r="M251" s="8" t="str">
        <f>CONCATENATE("reqSprBanks.append(0x",Table1[[#This Row],[imgbank]],")")</f>
        <v>reqSprBanks.append(0x0A)</v>
      </c>
    </row>
    <row r="252" spans="1:13" x14ac:dyDescent="0.25">
      <c r="A252" s="1">
        <v>250</v>
      </c>
      <c r="B252" s="1" t="s">
        <v>1345</v>
      </c>
      <c r="C252" s="2" t="s">
        <v>182</v>
      </c>
      <c r="D252" s="1" t="s">
        <v>954</v>
      </c>
      <c r="E252" s="3" t="s">
        <v>661</v>
      </c>
      <c r="F252" s="1" t="s">
        <v>402</v>
      </c>
      <c r="G252" s="2" t="s">
        <v>1588</v>
      </c>
      <c r="H252" s="1"/>
      <c r="I252" s="1" t="str">
        <f>Table1[[#This Row],[idh]]</f>
        <v>FA</v>
      </c>
      <c r="J252" s="1" t="str">
        <f>CONCATENATE("an",Table1[[#This Row],[name]],"_ID")</f>
        <v>anPlayerNeedlerL_ID</v>
      </c>
      <c r="K252" s="1" t="str">
        <f>CONCATENATE(Table1[[#This Row],[asm]]," = $",Table1[[#This Row],[idh]])</f>
        <v>anPlayerNeedlerL_ID = $FA</v>
      </c>
      <c r="L252" s="1" t="str">
        <f>CONCATENATE("animNames.append(""",Table1[[#This Row],[name]],""")")</f>
        <v>animNames.append("PlayerNeedlerL")</v>
      </c>
      <c r="M252" s="8" t="str">
        <f>CONCATENATE("reqSprBanks.append(0x",Table1[[#This Row],[imgbank]],")")</f>
        <v>reqSprBanks.append(0x04,0A)</v>
      </c>
    </row>
    <row r="253" spans="1:13" x14ac:dyDescent="0.25">
      <c r="A253" s="1">
        <v>251</v>
      </c>
      <c r="B253" s="1" t="s">
        <v>1346</v>
      </c>
      <c r="C253" s="2" t="s">
        <v>183</v>
      </c>
      <c r="D253" s="1" t="s">
        <v>955</v>
      </c>
      <c r="E253" s="3" t="s">
        <v>662</v>
      </c>
      <c r="F253" s="1" t="s">
        <v>402</v>
      </c>
      <c r="G253" s="2" t="s">
        <v>1588</v>
      </c>
      <c r="H253" s="1"/>
      <c r="I253" s="1" t="str">
        <f>Table1[[#This Row],[idh]]</f>
        <v>FB</v>
      </c>
      <c r="J253" s="1" t="str">
        <f>CONCATENATE("an",Table1[[#This Row],[name]],"_ID")</f>
        <v>anPlayerNeedlerR_ID</v>
      </c>
      <c r="K253" s="1" t="str">
        <f>CONCATENATE(Table1[[#This Row],[asm]]," = $",Table1[[#This Row],[idh]])</f>
        <v>anPlayerNeedlerR_ID = $FB</v>
      </c>
      <c r="L253" s="1" t="str">
        <f>CONCATENATE("animNames.append(""",Table1[[#This Row],[name]],""")")</f>
        <v>animNames.append("PlayerNeedlerR")</v>
      </c>
      <c r="M253" s="8" t="str">
        <f>CONCATENATE("reqSprBanks.append(0x",Table1[[#This Row],[imgbank]],")")</f>
        <v>reqSprBanks.append(0x04,0A)</v>
      </c>
    </row>
    <row r="254" spans="1:13" x14ac:dyDescent="0.25">
      <c r="A254" s="1">
        <v>252</v>
      </c>
      <c r="B254" s="1" t="s">
        <v>1347</v>
      </c>
      <c r="C254" s="2" t="s">
        <v>184</v>
      </c>
      <c r="D254" s="1" t="s">
        <v>958</v>
      </c>
      <c r="E254" s="3" t="s">
        <v>956</v>
      </c>
      <c r="F254" s="1" t="s">
        <v>417</v>
      </c>
      <c r="G254" s="2" t="s">
        <v>1099</v>
      </c>
      <c r="H254" s="1"/>
      <c r="I254" s="1" t="str">
        <f>Table1[[#This Row],[idh]]</f>
        <v>FC</v>
      </c>
      <c r="J254" s="1" t="str">
        <f>CONCATENATE("an",Table1[[#This Row],[name]],"_ID")</f>
        <v>anZenChanLookAroundL_ID</v>
      </c>
      <c r="K254" s="1" t="str">
        <f>CONCATENATE(Table1[[#This Row],[asm]]," = $",Table1[[#This Row],[idh]])</f>
        <v>anZenChanLookAroundL_ID = $FC</v>
      </c>
      <c r="L254" s="1" t="str">
        <f>CONCATENATE("animNames.append(""",Table1[[#This Row],[name]],""")")</f>
        <v>animNames.append("ZenChanLookAroundL")</v>
      </c>
      <c r="M254" s="8" t="str">
        <f>CONCATENATE("reqSprBanks.append(0x",Table1[[#This Row],[imgbank]],")")</f>
        <v>reqSprBanks.append(0x04)</v>
      </c>
    </row>
    <row r="255" spans="1:13" x14ac:dyDescent="0.25">
      <c r="A255" s="1">
        <v>253</v>
      </c>
      <c r="B255" s="1" t="s">
        <v>1348</v>
      </c>
      <c r="C255" s="2" t="s">
        <v>185</v>
      </c>
      <c r="D255" s="1" t="s">
        <v>959</v>
      </c>
      <c r="E255" s="3" t="s">
        <v>957</v>
      </c>
      <c r="F255" s="1" t="s">
        <v>417</v>
      </c>
      <c r="G255" s="2" t="s">
        <v>1099</v>
      </c>
      <c r="H255" s="1"/>
      <c r="I255" s="1" t="str">
        <f>Table1[[#This Row],[idh]]</f>
        <v>FD</v>
      </c>
      <c r="J255" s="1" t="str">
        <f>CONCATENATE("an",Table1[[#This Row],[name]],"_ID")</f>
        <v>anZenChanLookAroundR_ID</v>
      </c>
      <c r="K255" s="1" t="str">
        <f>CONCATENATE(Table1[[#This Row],[asm]]," = $",Table1[[#This Row],[idh]])</f>
        <v>anZenChanLookAroundR_ID = $FD</v>
      </c>
      <c r="L255" s="1" t="str">
        <f>CONCATENATE("animNames.append(""",Table1[[#This Row],[name]],""")")</f>
        <v>animNames.append("ZenChanLookAroundR")</v>
      </c>
      <c r="M255" s="8" t="str">
        <f>CONCATENATE("reqSprBanks.append(0x",Table1[[#This Row],[imgbank]],")")</f>
        <v>reqSprBanks.append(0x04)</v>
      </c>
    </row>
    <row r="256" spans="1:13" x14ac:dyDescent="0.25">
      <c r="A256" s="1">
        <v>254</v>
      </c>
      <c r="B256" s="1" t="s">
        <v>1349</v>
      </c>
      <c r="C256" s="2" t="s">
        <v>186</v>
      </c>
      <c r="D256" s="1" t="s">
        <v>448</v>
      </c>
      <c r="E256" s="3" t="s">
        <v>448</v>
      </c>
      <c r="F256" s="1" t="s">
        <v>448</v>
      </c>
      <c r="G256" s="2" t="s">
        <v>1099</v>
      </c>
      <c r="H256" s="1"/>
      <c r="I256" s="1" t="str">
        <f>Table1[[#This Row],[idh]]</f>
        <v>FE</v>
      </c>
      <c r="J256" s="1" t="str">
        <f>CONCATENATE("an",Table1[[#This Row],[name]],"_ID")</f>
        <v>anTrash_ID</v>
      </c>
      <c r="K256" s="1" t="str">
        <f>CONCATENATE(Table1[[#This Row],[asm]]," = $",Table1[[#This Row],[idh]])</f>
        <v>anTrash_ID = $FE</v>
      </c>
      <c r="L256" s="1" t="str">
        <f>CONCATENATE("animNames.append(""",Table1[[#This Row],[name]],""")")</f>
        <v>animNames.append("Trash")</v>
      </c>
      <c r="M256" s="8" t="str">
        <f>CONCATENATE("reqSprBanks.append(0x",Table1[[#This Row],[imgbank]],")")</f>
        <v>reqSprBanks.append(0x04)</v>
      </c>
    </row>
    <row r="257" spans="1:13" x14ac:dyDescent="0.25">
      <c r="A257" s="1">
        <v>255</v>
      </c>
      <c r="B257" s="1" t="s">
        <v>1350</v>
      </c>
      <c r="C257" s="2" t="s">
        <v>187</v>
      </c>
      <c r="D257" s="1" t="s">
        <v>960</v>
      </c>
      <c r="E257" s="3" t="s">
        <v>663</v>
      </c>
      <c r="F257" s="1" t="s">
        <v>448</v>
      </c>
      <c r="G257" s="2" t="s">
        <v>1099</v>
      </c>
      <c r="H257" s="1"/>
      <c r="I257" s="1" t="str">
        <f>Table1[[#This Row],[idh]]</f>
        <v>FF</v>
      </c>
      <c r="J257" s="1" t="str">
        <f>CONCATENATE("an",Table1[[#This Row],[name]],"_ID")</f>
        <v>anTrashFall_ID</v>
      </c>
      <c r="K257" s="1" t="str">
        <f>CONCATENATE(Table1[[#This Row],[asm]]," = $",Table1[[#This Row],[idh]])</f>
        <v>anTrashFall_ID = $FF</v>
      </c>
      <c r="L257" s="1" t="str">
        <f>CONCATENATE("animNames.append(""",Table1[[#This Row],[name]],""")")</f>
        <v>animNames.append("TrashFall")</v>
      </c>
      <c r="M257" s="8" t="str">
        <f>CONCATENATE("reqSprBanks.append(0x",Table1[[#This Row],[imgbank]],")")</f>
        <v>reqSprBanks.append(0x04)</v>
      </c>
    </row>
    <row r="258" spans="1:13" x14ac:dyDescent="0.25">
      <c r="A258" s="1">
        <v>256</v>
      </c>
      <c r="B258" s="1" t="s">
        <v>1351</v>
      </c>
      <c r="C258" s="2" t="s">
        <v>187</v>
      </c>
      <c r="D258" s="1" t="s">
        <v>963</v>
      </c>
      <c r="E258" s="3" t="s">
        <v>663</v>
      </c>
      <c r="F258" s="1" t="s">
        <v>448</v>
      </c>
      <c r="G258" s="2" t="s">
        <v>1099</v>
      </c>
      <c r="H258" s="1" t="s">
        <v>900</v>
      </c>
      <c r="I258" s="1" t="str">
        <f>Table1[[#This Row],[idh]]</f>
        <v>100</v>
      </c>
      <c r="J258" s="1" t="str">
        <f>CONCATENATE("an",Table1[[#This Row],[name]],"_ID")</f>
        <v>anTrashFallAlt1_ID</v>
      </c>
      <c r="K258" s="1" t="str">
        <f>CONCATENATE(Table1[[#This Row],[asm]]," = $",Table1[[#This Row],[idh]])</f>
        <v>anTrashFallAlt1_ID = $100</v>
      </c>
      <c r="L258" s="1" t="str">
        <f>CONCATENATE("animNames.append(""",Table1[[#This Row],[name]],""")")</f>
        <v>animNames.append("TrashFallAlt1")</v>
      </c>
      <c r="M258" s="8" t="str">
        <f>CONCATENATE("reqSprBanks.append(0x",Table1[[#This Row],[imgbank]],")")</f>
        <v>reqSprBanks.append(0x04)</v>
      </c>
    </row>
    <row r="259" spans="1:13" x14ac:dyDescent="0.25">
      <c r="A259" s="1">
        <v>257</v>
      </c>
      <c r="B259" s="1" t="s">
        <v>1352</v>
      </c>
      <c r="C259" s="2" t="s">
        <v>188</v>
      </c>
      <c r="D259" s="1" t="s">
        <v>964</v>
      </c>
      <c r="E259" s="3" t="s">
        <v>664</v>
      </c>
      <c r="F259" s="1" t="s">
        <v>440</v>
      </c>
      <c r="G259" s="2" t="s">
        <v>1588</v>
      </c>
      <c r="H259" s="1"/>
      <c r="I259" s="1" t="str">
        <f>Table1[[#This Row],[idh]]</f>
        <v>101</v>
      </c>
      <c r="J259" s="1" t="str">
        <f>CONCATENATE("an",Table1[[#This Row],[name]],"_ID")</f>
        <v>anThunderBubble_ID</v>
      </c>
      <c r="K259" s="1" t="str">
        <f>CONCATENATE(Table1[[#This Row],[asm]]," = $",Table1[[#This Row],[idh]])</f>
        <v>anThunderBubble_ID = $101</v>
      </c>
      <c r="L259" s="1" t="str">
        <f>CONCATENATE("animNames.append(""",Table1[[#This Row],[name]],""")")</f>
        <v>animNames.append("ThunderBubble")</v>
      </c>
      <c r="M259" s="8" t="str">
        <f>CONCATENATE("reqSprBanks.append(0x",Table1[[#This Row],[imgbank]],")")</f>
        <v>reqSprBanks.append(0x04,0A)</v>
      </c>
    </row>
    <row r="260" spans="1:13" x14ac:dyDescent="0.25">
      <c r="A260" s="1">
        <v>258</v>
      </c>
      <c r="B260" s="1" t="s">
        <v>1353</v>
      </c>
      <c r="C260" s="2" t="s">
        <v>346</v>
      </c>
      <c r="D260" s="1" t="s">
        <v>965</v>
      </c>
      <c r="E260" s="3" t="s">
        <v>665</v>
      </c>
      <c r="F260" s="1" t="s">
        <v>449</v>
      </c>
      <c r="G260" s="2" t="s">
        <v>1588</v>
      </c>
      <c r="H260" s="1"/>
      <c r="I260" s="1" t="str">
        <f>Table1[[#This Row],[idh]]</f>
        <v>102</v>
      </c>
      <c r="J260" s="1" t="str">
        <f>CONCATENATE("an",Table1[[#This Row],[name]],"_ID")</f>
        <v>anFireBubble_ID</v>
      </c>
      <c r="K260" s="1" t="str">
        <f>CONCATENATE(Table1[[#This Row],[asm]]," = $",Table1[[#This Row],[idh]])</f>
        <v>anFireBubble_ID = $102</v>
      </c>
      <c r="L260" s="1" t="str">
        <f>CONCATENATE("animNames.append(""",Table1[[#This Row],[name]],""")")</f>
        <v>animNames.append("FireBubble")</v>
      </c>
      <c r="M260" s="8" t="str">
        <f>CONCATENATE("reqSprBanks.append(0x",Table1[[#This Row],[imgbank]],")")</f>
        <v>reqSprBanks.append(0x04,0A)</v>
      </c>
    </row>
    <row r="261" spans="1:13" x14ac:dyDescent="0.25">
      <c r="A261" s="1">
        <v>259</v>
      </c>
      <c r="B261" s="1" t="s">
        <v>1354</v>
      </c>
      <c r="C261" s="2" t="s">
        <v>347</v>
      </c>
      <c r="D261" s="1" t="s">
        <v>966</v>
      </c>
      <c r="E261" s="3" t="s">
        <v>666</v>
      </c>
      <c r="F261" s="1" t="s">
        <v>450</v>
      </c>
      <c r="G261" s="2" t="s">
        <v>1588</v>
      </c>
      <c r="H261" s="1"/>
      <c r="I261" s="1" t="str">
        <f>Table1[[#This Row],[idh]]</f>
        <v>103</v>
      </c>
      <c r="J261" s="1" t="str">
        <f>CONCATENATE("an",Table1[[#This Row],[name]],"_ID")</f>
        <v>anFloodBubble_ID</v>
      </c>
      <c r="K261" s="1" t="str">
        <f>CONCATENATE(Table1[[#This Row],[asm]]," = $",Table1[[#This Row],[idh]])</f>
        <v>anFloodBubble_ID = $103</v>
      </c>
      <c r="L261" s="1" t="str">
        <f>CONCATENATE("animNames.append(""",Table1[[#This Row],[name]],""")")</f>
        <v>animNames.append("FloodBubble")</v>
      </c>
      <c r="M261" s="8" t="str">
        <f>CONCATENATE("reqSprBanks.append(0x",Table1[[#This Row],[imgbank]],")")</f>
        <v>reqSprBanks.append(0x04,0A)</v>
      </c>
    </row>
    <row r="262" spans="1:13" x14ac:dyDescent="0.25">
      <c r="A262" s="1">
        <v>260</v>
      </c>
      <c r="B262" s="1" t="s">
        <v>1355</v>
      </c>
      <c r="C262" s="2" t="s">
        <v>348</v>
      </c>
      <c r="D262" s="1" t="s">
        <v>967</v>
      </c>
      <c r="E262" s="3" t="s">
        <v>667</v>
      </c>
      <c r="F262" s="1" t="s">
        <v>451</v>
      </c>
      <c r="G262" s="2" t="s">
        <v>1588</v>
      </c>
      <c r="H262" s="1"/>
      <c r="I262" s="1" t="str">
        <f>Table1[[#This Row],[idh]]</f>
        <v>104</v>
      </c>
      <c r="J262" s="1" t="str">
        <f>CONCATENATE("an",Table1[[#This Row],[name]],"_ID")</f>
        <v>anSnowBubble_ID</v>
      </c>
      <c r="K262" s="1" t="str">
        <f>CONCATENATE(Table1[[#This Row],[asm]]," = $",Table1[[#This Row],[idh]])</f>
        <v>anSnowBubble_ID = $104</v>
      </c>
      <c r="L262" s="1" t="str">
        <f>CONCATENATE("animNames.append(""",Table1[[#This Row],[name]],""")")</f>
        <v>animNames.append("SnowBubble")</v>
      </c>
      <c r="M262" s="8" t="str">
        <f>CONCATENATE("reqSprBanks.append(0x",Table1[[#This Row],[imgbank]],")")</f>
        <v>reqSprBanks.append(0x04,0A)</v>
      </c>
    </row>
    <row r="263" spans="1:13" x14ac:dyDescent="0.25">
      <c r="A263" s="1">
        <v>261</v>
      </c>
      <c r="B263" s="1" t="s">
        <v>1356</v>
      </c>
      <c r="C263" s="2" t="s">
        <v>349</v>
      </c>
      <c r="D263" s="1" t="s">
        <v>968</v>
      </c>
      <c r="E263" s="3" t="s">
        <v>668</v>
      </c>
      <c r="F263" s="1" t="s">
        <v>452</v>
      </c>
      <c r="G263" s="2" t="s">
        <v>1588</v>
      </c>
      <c r="H263" s="1"/>
      <c r="I263" s="1" t="str">
        <f>Table1[[#This Row],[idh]]</f>
        <v>105</v>
      </c>
      <c r="J263" s="1" t="str">
        <f>CONCATENATE("an",Table1[[#This Row],[name]],"_ID")</f>
        <v>anWindBubble_ID</v>
      </c>
      <c r="K263" s="1" t="str">
        <f>CONCATENATE(Table1[[#This Row],[asm]]," = $",Table1[[#This Row],[idh]])</f>
        <v>anWindBubble_ID = $105</v>
      </c>
      <c r="L263" s="1" t="str">
        <f>CONCATENATE("animNames.append(""",Table1[[#This Row],[name]],""")")</f>
        <v>animNames.append("WindBubble")</v>
      </c>
      <c r="M263" s="8" t="str">
        <f>CONCATENATE("reqSprBanks.append(0x",Table1[[#This Row],[imgbank]],")")</f>
        <v>reqSprBanks.append(0x04,0A)</v>
      </c>
    </row>
    <row r="264" spans="1:13" x14ac:dyDescent="0.25">
      <c r="A264" s="1">
        <v>262</v>
      </c>
      <c r="B264" s="1" t="s">
        <v>1357</v>
      </c>
      <c r="C264" s="2" t="s">
        <v>350</v>
      </c>
      <c r="D264" s="1" t="s">
        <v>969</v>
      </c>
      <c r="E264" s="3" t="s">
        <v>669</v>
      </c>
      <c r="F264" s="1" t="s">
        <v>453</v>
      </c>
      <c r="G264" s="2" t="s">
        <v>1588</v>
      </c>
      <c r="H264" s="1"/>
      <c r="I264" s="1" t="str">
        <f>Table1[[#This Row],[idh]]</f>
        <v>106</v>
      </c>
      <c r="J264" s="1" t="str">
        <f>CONCATENATE("an",Table1[[#This Row],[name]],"_ID")</f>
        <v>anStarBubble_ID</v>
      </c>
      <c r="K264" s="1" t="str">
        <f>CONCATENATE(Table1[[#This Row],[asm]]," = $",Table1[[#This Row],[idh]])</f>
        <v>anStarBubble_ID = $106</v>
      </c>
      <c r="L264" s="1" t="str">
        <f>CONCATENATE("animNames.append(""",Table1[[#This Row],[name]],""")")</f>
        <v>animNames.append("StarBubble")</v>
      </c>
      <c r="M264" s="8" t="str">
        <f>CONCATENATE("reqSprBanks.append(0x",Table1[[#This Row],[imgbank]],")")</f>
        <v>reqSprBanks.append(0x04,0A)</v>
      </c>
    </row>
    <row r="265" spans="1:13" x14ac:dyDescent="0.25">
      <c r="A265" s="1">
        <v>263</v>
      </c>
      <c r="B265" s="1" t="s">
        <v>1358</v>
      </c>
      <c r="C265" s="2" t="s">
        <v>351</v>
      </c>
      <c r="D265" s="1" t="s">
        <v>440</v>
      </c>
      <c r="E265" s="3" t="s">
        <v>440</v>
      </c>
      <c r="F265" s="1" t="s">
        <v>440</v>
      </c>
      <c r="G265" s="2" t="s">
        <v>1588</v>
      </c>
      <c r="H265" s="1"/>
      <c r="I265" s="1" t="str">
        <f>Table1[[#This Row],[idh]]</f>
        <v>107</v>
      </c>
      <c r="J265" s="1" t="str">
        <f>CONCATENATE("an",Table1[[#This Row],[name]],"_ID")</f>
        <v>anThunder_ID</v>
      </c>
      <c r="K265" s="1" t="str">
        <f>CONCATENATE(Table1[[#This Row],[asm]]," = $",Table1[[#This Row],[idh]])</f>
        <v>anThunder_ID = $107</v>
      </c>
      <c r="L265" s="1" t="str">
        <f>CONCATENATE("animNames.append(""",Table1[[#This Row],[name]],""")")</f>
        <v>animNames.append("Thunder")</v>
      </c>
      <c r="M265" s="8" t="str">
        <f>CONCATENATE("reqSprBanks.append(0x",Table1[[#This Row],[imgbank]],")")</f>
        <v>reqSprBanks.append(0x04,0A)</v>
      </c>
    </row>
    <row r="266" spans="1:13" x14ac:dyDescent="0.25">
      <c r="A266" s="1">
        <v>264</v>
      </c>
      <c r="B266" s="1" t="s">
        <v>1359</v>
      </c>
      <c r="C266" s="2" t="s">
        <v>352</v>
      </c>
      <c r="D266" s="1" t="s">
        <v>1518</v>
      </c>
      <c r="E266" s="3" t="s">
        <v>449</v>
      </c>
      <c r="F266" s="1" t="s">
        <v>449</v>
      </c>
      <c r="G266" s="2" t="s">
        <v>1588</v>
      </c>
      <c r="H266" s="1"/>
      <c r="I266" s="1" t="str">
        <f>Table1[[#This Row],[idh]]</f>
        <v>108</v>
      </c>
      <c r="J266" s="1" t="str">
        <f>CONCATENATE("an",Table1[[#This Row],[name]],"_ID")</f>
        <v>anFlame_ID</v>
      </c>
      <c r="K266" s="1" t="str">
        <f>CONCATENATE(Table1[[#This Row],[asm]]," = $",Table1[[#This Row],[idh]])</f>
        <v>anFlame_ID = $108</v>
      </c>
      <c r="L266" s="1" t="str">
        <f>CONCATENATE("animNames.append(""",Table1[[#This Row],[name]],""")")</f>
        <v>animNames.append("Flame")</v>
      </c>
      <c r="M266" s="8" t="str">
        <f>CONCATENATE("reqSprBanks.append(0x",Table1[[#This Row],[imgbank]],")")</f>
        <v>reqSprBanks.append(0x04,0A)</v>
      </c>
    </row>
    <row r="267" spans="1:13" x14ac:dyDescent="0.25">
      <c r="A267" s="1">
        <v>265</v>
      </c>
      <c r="B267" s="1" t="s">
        <v>1360</v>
      </c>
      <c r="C267" s="2" t="s">
        <v>189</v>
      </c>
      <c r="D267" s="1" t="s">
        <v>992</v>
      </c>
      <c r="E267" s="3" t="s">
        <v>670</v>
      </c>
      <c r="F267" s="1" t="s">
        <v>450</v>
      </c>
      <c r="G267" s="2" t="s">
        <v>1588</v>
      </c>
      <c r="H267" s="1"/>
      <c r="I267" s="1" t="str">
        <f>Table1[[#This Row],[idh]]</f>
        <v>109</v>
      </c>
      <c r="J267" s="1" t="str">
        <f>CONCATENATE("an",Table1[[#This Row],[name]],"_ID")</f>
        <v>anFloodV_ID</v>
      </c>
      <c r="K267" s="1" t="str">
        <f>CONCATENATE(Table1[[#This Row],[asm]]," = $",Table1[[#This Row],[idh]])</f>
        <v>anFloodV_ID = $109</v>
      </c>
      <c r="L267" s="1" t="str">
        <f>CONCATENATE("animNames.append(""",Table1[[#This Row],[name]],""")")</f>
        <v>animNames.append("FloodV")</v>
      </c>
      <c r="M267" s="8" t="str">
        <f>CONCATENATE("reqSprBanks.append(0x",Table1[[#This Row],[imgbank]],")")</f>
        <v>reqSprBanks.append(0x04,0A)</v>
      </c>
    </row>
    <row r="268" spans="1:13" x14ac:dyDescent="0.25">
      <c r="A268" s="1">
        <v>266</v>
      </c>
      <c r="B268" s="1" t="s">
        <v>1361</v>
      </c>
      <c r="C268" s="2" t="s">
        <v>190</v>
      </c>
      <c r="D268" s="1" t="s">
        <v>970</v>
      </c>
      <c r="E268" s="3" t="s">
        <v>671</v>
      </c>
      <c r="F268" s="1" t="s">
        <v>451</v>
      </c>
      <c r="G268" s="2" t="s">
        <v>1588</v>
      </c>
      <c r="H268" s="1"/>
      <c r="I268" s="1" t="str">
        <f>Table1[[#This Row],[idh]]</f>
        <v>10A</v>
      </c>
      <c r="J268" s="1" t="str">
        <f>CONCATENATE("an",Table1[[#This Row],[name]],"_ID")</f>
        <v>anSnowRelease_ID</v>
      </c>
      <c r="K268" s="1" t="str">
        <f>CONCATENATE(Table1[[#This Row],[asm]]," = $",Table1[[#This Row],[idh]])</f>
        <v>anSnowRelease_ID = $10A</v>
      </c>
      <c r="L268" s="1" t="str">
        <f>CONCATENATE("animNames.append(""",Table1[[#This Row],[name]],""")")</f>
        <v>animNames.append("SnowRelease")</v>
      </c>
      <c r="M268" s="8" t="str">
        <f>CONCATENATE("reqSprBanks.append(0x",Table1[[#This Row],[imgbank]],")")</f>
        <v>reqSprBanks.append(0x04,0A)</v>
      </c>
    </row>
    <row r="269" spans="1:13" x14ac:dyDescent="0.25">
      <c r="A269" s="1">
        <v>267</v>
      </c>
      <c r="B269" s="1" t="s">
        <v>1362</v>
      </c>
      <c r="C269" s="2" t="s">
        <v>353</v>
      </c>
      <c r="D269" s="1" t="s">
        <v>452</v>
      </c>
      <c r="E269" s="3" t="s">
        <v>452</v>
      </c>
      <c r="F269" s="1" t="s">
        <v>452</v>
      </c>
      <c r="G269" s="2" t="s">
        <v>1588</v>
      </c>
      <c r="H269" s="1"/>
      <c r="I269" s="1" t="str">
        <f>Table1[[#This Row],[idh]]</f>
        <v>10B</v>
      </c>
      <c r="J269" s="1" t="str">
        <f>CONCATENATE("an",Table1[[#This Row],[name]],"_ID")</f>
        <v>anWind_ID</v>
      </c>
      <c r="K269" s="1" t="str">
        <f>CONCATENATE(Table1[[#This Row],[asm]]," = $",Table1[[#This Row],[idh]])</f>
        <v>anWind_ID = $10B</v>
      </c>
      <c r="L269" s="1" t="str">
        <f>CONCATENATE("animNames.append(""",Table1[[#This Row],[name]],""")")</f>
        <v>animNames.append("Wind")</v>
      </c>
      <c r="M269" s="8" t="str">
        <f>CONCATENATE("reqSprBanks.append(0x",Table1[[#This Row],[imgbank]],")")</f>
        <v>reqSprBanks.append(0x04,0A)</v>
      </c>
    </row>
    <row r="270" spans="1:13" x14ac:dyDescent="0.25">
      <c r="A270" s="1">
        <v>268</v>
      </c>
      <c r="B270" s="1" t="s">
        <v>1363</v>
      </c>
      <c r="C270" s="2" t="s">
        <v>191</v>
      </c>
      <c r="D270" s="1" t="s">
        <v>453</v>
      </c>
      <c r="E270" s="3" t="s">
        <v>453</v>
      </c>
      <c r="F270" s="1" t="s">
        <v>453</v>
      </c>
      <c r="G270" s="2" t="s">
        <v>1588</v>
      </c>
      <c r="H270" s="1"/>
      <c r="I270" s="1" t="str">
        <f>Table1[[#This Row],[idh]]</f>
        <v>10C</v>
      </c>
      <c r="J270" s="1" t="str">
        <f>CONCATENATE("an",Table1[[#This Row],[name]],"_ID")</f>
        <v>anStar_ID</v>
      </c>
      <c r="K270" s="1" t="str">
        <f>CONCATENATE(Table1[[#This Row],[asm]]," = $",Table1[[#This Row],[idh]])</f>
        <v>anStar_ID = $10C</v>
      </c>
      <c r="L270" s="1" t="str">
        <f>CONCATENATE("animNames.append(""",Table1[[#This Row],[name]],""")")</f>
        <v>animNames.append("Star")</v>
      </c>
      <c r="M270" s="8" t="str">
        <f>CONCATENATE("reqSprBanks.append(0x",Table1[[#This Row],[imgbank]],")")</f>
        <v>reqSprBanks.append(0x04,0A)</v>
      </c>
    </row>
    <row r="271" spans="1:13" x14ac:dyDescent="0.25">
      <c r="A271" s="1">
        <v>269</v>
      </c>
      <c r="B271" s="1" t="s">
        <v>1364</v>
      </c>
      <c r="C271" s="2" t="s">
        <v>354</v>
      </c>
      <c r="D271" s="1" t="s">
        <v>972</v>
      </c>
      <c r="E271" s="3" t="s">
        <v>971</v>
      </c>
      <c r="F271" s="1" t="s">
        <v>440</v>
      </c>
      <c r="G271" s="2" t="s">
        <v>1588</v>
      </c>
      <c r="H271" s="1"/>
      <c r="I271" s="1" t="str">
        <f>Table1[[#This Row],[idh]]</f>
        <v>10D</v>
      </c>
      <c r="J271" s="1" t="str">
        <f>CONCATENATE("an",Table1[[#This Row],[name]],"_ID")</f>
        <v>anThunderAlt_ID</v>
      </c>
      <c r="K271" s="1" t="str">
        <f>CONCATENATE(Table1[[#This Row],[asm]]," = $",Table1[[#This Row],[idh]])</f>
        <v>anThunderAlt_ID = $10D</v>
      </c>
      <c r="L271" s="1" t="str">
        <f>CONCATENATE("animNames.append(""",Table1[[#This Row],[name]],""")")</f>
        <v>animNames.append("ThunderAlt")</v>
      </c>
      <c r="M271" s="8" t="str">
        <f>CONCATENATE("reqSprBanks.append(0x",Table1[[#This Row],[imgbank]],")")</f>
        <v>reqSprBanks.append(0x04,0A)</v>
      </c>
    </row>
    <row r="272" spans="1:13" x14ac:dyDescent="0.25">
      <c r="A272" s="1">
        <v>270</v>
      </c>
      <c r="B272" s="1" t="s">
        <v>1365</v>
      </c>
      <c r="C272" s="2" t="s">
        <v>355</v>
      </c>
      <c r="D272" s="1" t="s">
        <v>973</v>
      </c>
      <c r="E272" s="3" t="s">
        <v>976</v>
      </c>
      <c r="F272" s="1" t="s">
        <v>453</v>
      </c>
      <c r="G272" s="2" t="s">
        <v>1588</v>
      </c>
      <c r="H272" s="1"/>
      <c r="I272" s="1" t="str">
        <f>Table1[[#This Row],[idh]]</f>
        <v>10E</v>
      </c>
      <c r="J272" s="1" t="str">
        <f>CONCATENATE("an",Table1[[#This Row],[name]],"_ID")</f>
        <v>anStarAlt_ID</v>
      </c>
      <c r="K272" s="1" t="str">
        <f>CONCATENATE(Table1[[#This Row],[asm]]," = $",Table1[[#This Row],[idh]])</f>
        <v>anStarAlt_ID = $10E</v>
      </c>
      <c r="L272" s="1" t="str">
        <f>CONCATENATE("animNames.append(""",Table1[[#This Row],[name]],""")")</f>
        <v>animNames.append("StarAlt")</v>
      </c>
      <c r="M272" s="8" t="str">
        <f>CONCATENATE("reqSprBanks.append(0x",Table1[[#This Row],[imgbank]],")")</f>
        <v>reqSprBanks.append(0x04,0A)</v>
      </c>
    </row>
    <row r="273" spans="1:13" x14ac:dyDescent="0.25">
      <c r="A273" s="1">
        <v>271</v>
      </c>
      <c r="B273" s="1" t="s">
        <v>1366</v>
      </c>
      <c r="C273" s="2" t="s">
        <v>192</v>
      </c>
      <c r="D273" s="1" t="s">
        <v>974</v>
      </c>
      <c r="E273" s="3" t="s">
        <v>977</v>
      </c>
      <c r="F273" s="1" t="s">
        <v>451</v>
      </c>
      <c r="G273" s="2" t="s">
        <v>1588</v>
      </c>
      <c r="H273" s="1"/>
      <c r="I273" s="1" t="str">
        <f>Table1[[#This Row],[idh]]</f>
        <v>10F</v>
      </c>
      <c r="J273" s="1" t="str">
        <f>CONCATENATE("an",Table1[[#This Row],[name]],"_ID")</f>
        <v>anSnowAlt_ID</v>
      </c>
      <c r="K273" s="1" t="str">
        <f>CONCATENATE(Table1[[#This Row],[asm]]," = $",Table1[[#This Row],[idh]])</f>
        <v>anSnowAlt_ID = $10F</v>
      </c>
      <c r="L273" s="1" t="str">
        <f>CONCATENATE("animNames.append(""",Table1[[#This Row],[name]],""")")</f>
        <v>animNames.append("SnowAlt")</v>
      </c>
      <c r="M273" s="8" t="str">
        <f>CONCATENATE("reqSprBanks.append(0x",Table1[[#This Row],[imgbank]],")")</f>
        <v>reqSprBanks.append(0x04,0A)</v>
      </c>
    </row>
    <row r="274" spans="1:13" x14ac:dyDescent="0.25">
      <c r="A274" s="1">
        <v>272</v>
      </c>
      <c r="B274" s="1" t="s">
        <v>1367</v>
      </c>
      <c r="C274" s="2" t="s">
        <v>356</v>
      </c>
      <c r="D274" s="1" t="s">
        <v>975</v>
      </c>
      <c r="E274" s="3" t="s">
        <v>978</v>
      </c>
      <c r="F274" s="1" t="s">
        <v>452</v>
      </c>
      <c r="G274" s="2" t="s">
        <v>1588</v>
      </c>
      <c r="H274" s="1"/>
      <c r="I274" s="1" t="str">
        <f>Table1[[#This Row],[idh]]</f>
        <v>110</v>
      </c>
      <c r="J274" s="1" t="str">
        <f>CONCATENATE("an",Table1[[#This Row],[name]],"_ID")</f>
        <v>anWindAlt_ID</v>
      </c>
      <c r="K274" s="1" t="str">
        <f>CONCATENATE(Table1[[#This Row],[asm]]," = $",Table1[[#This Row],[idh]])</f>
        <v>anWindAlt_ID = $110</v>
      </c>
      <c r="L274" s="1" t="str">
        <f>CONCATENATE("animNames.append(""",Table1[[#This Row],[name]],""")")</f>
        <v>animNames.append("WindAlt")</v>
      </c>
      <c r="M274" s="8" t="str">
        <f>CONCATENATE("reqSprBanks.append(0x",Table1[[#This Row],[imgbank]],")")</f>
        <v>reqSprBanks.append(0x04,0A)</v>
      </c>
    </row>
    <row r="275" spans="1:13" x14ac:dyDescent="0.25">
      <c r="A275" s="1">
        <v>273</v>
      </c>
      <c r="B275" s="1" t="s">
        <v>1368</v>
      </c>
      <c r="C275" s="2" t="s">
        <v>193</v>
      </c>
      <c r="D275" s="4" t="s">
        <v>1546</v>
      </c>
      <c r="E275" s="3" t="s">
        <v>1546</v>
      </c>
      <c r="F275" s="1" t="s">
        <v>401</v>
      </c>
      <c r="G275" s="2" t="s">
        <v>1588</v>
      </c>
      <c r="H275" s="1"/>
      <c r="I275" s="1" t="str">
        <f>Table1[[#This Row],[idh]]</f>
        <v>111</v>
      </c>
      <c r="J275" s="1" t="str">
        <f>CONCATENATE("an",Table1[[#This Row],[name]],"_ID")</f>
        <v>anHeart_ID</v>
      </c>
      <c r="K275" s="1" t="str">
        <f>CONCATENATE(Table1[[#This Row],[asm]]," = $",Table1[[#This Row],[idh]])</f>
        <v>anHeart_ID = $111</v>
      </c>
      <c r="L275" s="1" t="str">
        <f>CONCATENATE("animNames.append(""",Table1[[#This Row],[name]],""")")</f>
        <v>animNames.append("Heart")</v>
      </c>
      <c r="M275" s="8" t="str">
        <f>CONCATENATE("reqSprBanks.append(0x",Table1[[#This Row],[imgbank]],")")</f>
        <v>reqSprBanks.append(0x04,0A)</v>
      </c>
    </row>
    <row r="276" spans="1:13" x14ac:dyDescent="0.25">
      <c r="A276" s="1">
        <v>274</v>
      </c>
      <c r="B276" s="1" t="s">
        <v>1369</v>
      </c>
      <c r="C276" s="2" t="s">
        <v>194</v>
      </c>
      <c r="D276" s="4" t="s">
        <v>1563</v>
      </c>
      <c r="E276" s="3" t="s">
        <v>1559</v>
      </c>
      <c r="F276" s="1" t="s">
        <v>401</v>
      </c>
      <c r="G276" s="2" t="s">
        <v>1588</v>
      </c>
      <c r="H276" s="1"/>
      <c r="I276" s="1" t="str">
        <f>Table1[[#This Row],[idh]]</f>
        <v>112</v>
      </c>
      <c r="J276" s="1" t="str">
        <f>CONCATENATE("an",Table1[[#This Row],[name]],"_ID")</f>
        <v>anHolyCup_ID</v>
      </c>
      <c r="K276" s="1" t="str">
        <f>CONCATENATE(Table1[[#This Row],[asm]]," = $",Table1[[#This Row],[idh]])</f>
        <v>anHolyCup_ID = $112</v>
      </c>
      <c r="L276" s="1" t="str">
        <f>CONCATENATE("animNames.append(""",Table1[[#This Row],[name]],""")")</f>
        <v>animNames.append("HolyCup")</v>
      </c>
      <c r="M276" s="8" t="str">
        <f>CONCATENATE("reqSprBanks.append(0x",Table1[[#This Row],[imgbank]],")")</f>
        <v>reqSprBanks.append(0x04,0A)</v>
      </c>
    </row>
    <row r="277" spans="1:13" x14ac:dyDescent="0.25">
      <c r="A277" s="1">
        <v>275</v>
      </c>
      <c r="B277" s="1" t="s">
        <v>1370</v>
      </c>
      <c r="C277" s="2" t="s">
        <v>195</v>
      </c>
      <c r="D277" s="4" t="s">
        <v>1564</v>
      </c>
      <c r="E277" s="3" t="s">
        <v>1560</v>
      </c>
      <c r="F277" s="1" t="s">
        <v>401</v>
      </c>
      <c r="G277" s="2" t="s">
        <v>1588</v>
      </c>
      <c r="H277" s="1"/>
      <c r="I277" s="1" t="str">
        <f>Table1[[#This Row],[idh]]</f>
        <v>113</v>
      </c>
      <c r="J277" s="1" t="str">
        <f>CONCATENATE("an",Table1[[#This Row],[name]],"_ID")</f>
        <v>anSecretDoor_ID</v>
      </c>
      <c r="K277" s="1" t="str">
        <f>CONCATENATE(Table1[[#This Row],[asm]]," = $",Table1[[#This Row],[idh]])</f>
        <v>anSecretDoor_ID = $113</v>
      </c>
      <c r="L277" s="1" t="str">
        <f>CONCATENATE("animNames.append(""",Table1[[#This Row],[name]],""")")</f>
        <v>animNames.append("SecretDoor")</v>
      </c>
      <c r="M277" s="8" t="str">
        <f>CONCATENATE("reqSprBanks.append(0x",Table1[[#This Row],[imgbank]],")")</f>
        <v>reqSprBanks.append(0x04,0A)</v>
      </c>
    </row>
    <row r="278" spans="1:13" x14ac:dyDescent="0.25">
      <c r="A278" s="1">
        <v>276</v>
      </c>
      <c r="B278" s="1" t="s">
        <v>1371</v>
      </c>
      <c r="C278" s="2" t="s">
        <v>196</v>
      </c>
      <c r="D278" s="4" t="s">
        <v>1547</v>
      </c>
      <c r="E278" s="3" t="s">
        <v>1547</v>
      </c>
      <c r="F278" s="1" t="s">
        <v>401</v>
      </c>
      <c r="G278" s="2" t="s">
        <v>1588</v>
      </c>
      <c r="H278" s="1"/>
      <c r="I278" s="1" t="str">
        <f>Table1[[#This Row],[idh]]</f>
        <v>114</v>
      </c>
      <c r="J278" s="1" t="str">
        <f>CONCATENATE("an",Table1[[#This Row],[name]],"_ID")</f>
        <v>anPencil_ID</v>
      </c>
      <c r="K278" s="1" t="str">
        <f>CONCATENATE(Table1[[#This Row],[asm]]," = $",Table1[[#This Row],[idh]])</f>
        <v>anPencil_ID = $114</v>
      </c>
      <c r="L278" s="1" t="str">
        <f>CONCATENATE("animNames.append(""",Table1[[#This Row],[name]],""")")</f>
        <v>animNames.append("Pencil")</v>
      </c>
      <c r="M278" s="8" t="str">
        <f>CONCATENATE("reqSprBanks.append(0x",Table1[[#This Row],[imgbank]],")")</f>
        <v>reqSprBanks.append(0x04,0A)</v>
      </c>
    </row>
    <row r="279" spans="1:13" x14ac:dyDescent="0.25">
      <c r="A279" s="1">
        <v>277</v>
      </c>
      <c r="B279" s="1" t="s">
        <v>1372</v>
      </c>
      <c r="C279" s="2" t="s">
        <v>197</v>
      </c>
      <c r="D279" s="4" t="s">
        <v>1549</v>
      </c>
      <c r="E279" s="3" t="s">
        <v>1549</v>
      </c>
      <c r="F279" s="1" t="s">
        <v>401</v>
      </c>
      <c r="G279" s="2" t="s">
        <v>1588</v>
      </c>
      <c r="H279" s="1"/>
      <c r="I279" s="1" t="str">
        <f>Table1[[#This Row],[idh]]</f>
        <v>115</v>
      </c>
      <c r="J279" s="1" t="str">
        <f>CONCATENATE("an",Table1[[#This Row],[name]],"_ID")</f>
        <v>anCrystal_ID</v>
      </c>
      <c r="K279" s="1" t="str">
        <f>CONCATENATE(Table1[[#This Row],[asm]]," = $",Table1[[#This Row],[idh]])</f>
        <v>anCrystal_ID = $115</v>
      </c>
      <c r="L279" s="1" t="str">
        <f>CONCATENATE("animNames.append(""",Table1[[#This Row],[name]],""")")</f>
        <v>animNames.append("Crystal")</v>
      </c>
      <c r="M279" s="8" t="str">
        <f>CONCATENATE("reqSprBanks.append(0x",Table1[[#This Row],[imgbank]],")")</f>
        <v>reqSprBanks.append(0x04,0A)</v>
      </c>
    </row>
    <row r="280" spans="1:13" x14ac:dyDescent="0.25">
      <c r="A280" s="1">
        <v>278</v>
      </c>
      <c r="B280" s="1" t="s">
        <v>1373</v>
      </c>
      <c r="C280" s="2" t="s">
        <v>198</v>
      </c>
      <c r="D280" s="4" t="s">
        <v>1565</v>
      </c>
      <c r="E280" s="3" t="s">
        <v>1550</v>
      </c>
      <c r="F280" s="1" t="s">
        <v>401</v>
      </c>
      <c r="G280" s="2" t="s">
        <v>1588</v>
      </c>
      <c r="H280" s="1"/>
      <c r="I280" s="1" t="str">
        <f>Table1[[#This Row],[idh]]</f>
        <v>116</v>
      </c>
      <c r="J280" s="1" t="str">
        <f>CONCATENATE("an",Table1[[#This Row],[name]],"_ID")</f>
        <v>anStarRod_ID</v>
      </c>
      <c r="K280" s="1" t="str">
        <f>CONCATENATE(Table1[[#This Row],[asm]]," = $",Table1[[#This Row],[idh]])</f>
        <v>anStarRod_ID = $116</v>
      </c>
      <c r="L280" s="1" t="str">
        <f>CONCATENATE("animNames.append(""",Table1[[#This Row],[name]],""")")</f>
        <v>animNames.append("StarRod")</v>
      </c>
      <c r="M280" s="8" t="str">
        <f>CONCATENATE("reqSprBanks.append(0x",Table1[[#This Row],[imgbank]],")")</f>
        <v>reqSprBanks.append(0x04,0A)</v>
      </c>
    </row>
    <row r="281" spans="1:13" x14ac:dyDescent="0.25">
      <c r="A281" s="1">
        <v>279</v>
      </c>
      <c r="B281" s="1" t="s">
        <v>1374</v>
      </c>
      <c r="C281" s="2" t="s">
        <v>199</v>
      </c>
      <c r="D281" s="4" t="s">
        <v>1551</v>
      </c>
      <c r="E281" s="3" t="s">
        <v>1551</v>
      </c>
      <c r="F281" s="1" t="s">
        <v>401</v>
      </c>
      <c r="G281" s="2" t="s">
        <v>1588</v>
      </c>
      <c r="H281" s="1"/>
      <c r="I281" s="1" t="str">
        <f>Table1[[#This Row],[idh]]</f>
        <v>117</v>
      </c>
      <c r="J281" s="1" t="str">
        <f>CONCATENATE("an",Table1[[#This Row],[name]],"_ID")</f>
        <v>anShoe_ID</v>
      </c>
      <c r="K281" s="1" t="str">
        <f>CONCATENATE(Table1[[#This Row],[asm]]," = $",Table1[[#This Row],[idh]])</f>
        <v>anShoe_ID = $117</v>
      </c>
      <c r="L281" s="1" t="str">
        <f>CONCATENATE("animNames.append(""",Table1[[#This Row],[name]],""")")</f>
        <v>animNames.append("Shoe")</v>
      </c>
      <c r="M281" s="8" t="str">
        <f>CONCATENATE("reqSprBanks.append(0x",Table1[[#This Row],[imgbank]],")")</f>
        <v>reqSprBanks.append(0x04,0A)</v>
      </c>
    </row>
    <row r="282" spans="1:13" x14ac:dyDescent="0.25">
      <c r="A282" s="1">
        <v>280</v>
      </c>
      <c r="B282" s="1" t="s">
        <v>1375</v>
      </c>
      <c r="C282" s="2" t="s">
        <v>200</v>
      </c>
      <c r="D282" s="4" t="s">
        <v>1552</v>
      </c>
      <c r="E282" s="3" t="s">
        <v>1552</v>
      </c>
      <c r="F282" s="1" t="s">
        <v>401</v>
      </c>
      <c r="G282" s="2" t="s">
        <v>1588</v>
      </c>
      <c r="H282" s="1"/>
      <c r="I282" s="1" t="str">
        <f>Table1[[#This Row],[idh]]</f>
        <v>118</v>
      </c>
      <c r="J282" s="1" t="str">
        <f>CONCATENATE("an",Table1[[#This Row],[name]],"_ID")</f>
        <v>anCandy_ID</v>
      </c>
      <c r="K282" s="1" t="str">
        <f>CONCATENATE(Table1[[#This Row],[asm]]," = $",Table1[[#This Row],[idh]])</f>
        <v>anCandy_ID = $118</v>
      </c>
      <c r="L282" s="1" t="str">
        <f>CONCATENATE("animNames.append(""",Table1[[#This Row],[name]],""")")</f>
        <v>animNames.append("Candy")</v>
      </c>
      <c r="M282" s="8" t="str">
        <f>CONCATENATE("reqSprBanks.append(0x",Table1[[#This Row],[imgbank]],")")</f>
        <v>reqSprBanks.append(0x04,0A)</v>
      </c>
    </row>
    <row r="283" spans="1:13" x14ac:dyDescent="0.25">
      <c r="A283" s="1">
        <v>281</v>
      </c>
      <c r="B283" s="1" t="s">
        <v>1376</v>
      </c>
      <c r="C283" s="2" t="s">
        <v>201</v>
      </c>
      <c r="D283" s="4" t="s">
        <v>1566</v>
      </c>
      <c r="E283" s="3" t="s">
        <v>1553</v>
      </c>
      <c r="F283" s="1" t="s">
        <v>401</v>
      </c>
      <c r="G283" s="2" t="s">
        <v>1588</v>
      </c>
      <c r="H283" s="1"/>
      <c r="I283" s="1" t="str">
        <f>Table1[[#This Row],[idh]]</f>
        <v>119</v>
      </c>
      <c r="J283" s="1" t="str">
        <f>CONCATENATE("an",Table1[[#This Row],[name]],"_ID")</f>
        <v>anJrDoll_ID</v>
      </c>
      <c r="K283" s="1" t="str">
        <f>CONCATENATE(Table1[[#This Row],[asm]]," = $",Table1[[#This Row],[idh]])</f>
        <v>anJrDoll_ID = $119</v>
      </c>
      <c r="L283" s="1" t="str">
        <f>CONCATENATE("animNames.append(""",Table1[[#This Row],[name]],""")")</f>
        <v>animNames.append("JrDoll")</v>
      </c>
      <c r="M283" s="8" t="str">
        <f>CONCATENATE("reqSprBanks.append(0x",Table1[[#This Row],[imgbank]],")")</f>
        <v>reqSprBanks.append(0x04,0A)</v>
      </c>
    </row>
    <row r="284" spans="1:13" x14ac:dyDescent="0.25">
      <c r="A284" s="1">
        <v>282</v>
      </c>
      <c r="B284" s="1" t="s">
        <v>1377</v>
      </c>
      <c r="C284" s="2" t="s">
        <v>202</v>
      </c>
      <c r="D284" s="4" t="s">
        <v>1554</v>
      </c>
      <c r="E284" s="3" t="s">
        <v>1554</v>
      </c>
      <c r="F284" s="1" t="s">
        <v>401</v>
      </c>
      <c r="G284" s="2" t="s">
        <v>1588</v>
      </c>
      <c r="H284" s="1"/>
      <c r="I284" s="1" t="str">
        <f>Table1[[#This Row],[idh]]</f>
        <v>11A</v>
      </c>
      <c r="J284" s="1" t="str">
        <f>CONCATENATE("an",Table1[[#This Row],[name]],"_ID")</f>
        <v>anClock_ID</v>
      </c>
      <c r="K284" s="1" t="str">
        <f>CONCATENATE(Table1[[#This Row],[asm]]," = $",Table1[[#This Row],[idh]])</f>
        <v>anClock_ID = $11A</v>
      </c>
      <c r="L284" s="1" t="str">
        <f>CONCATENATE("animNames.append(""",Table1[[#This Row],[name]],""")")</f>
        <v>animNames.append("Clock")</v>
      </c>
      <c r="M284" s="8" t="str">
        <f>CONCATENATE("reqSprBanks.append(0x",Table1[[#This Row],[imgbank]],")")</f>
        <v>reqSprBanks.append(0x04,0A)</v>
      </c>
    </row>
    <row r="285" spans="1:13" x14ac:dyDescent="0.25">
      <c r="A285" s="1">
        <v>283</v>
      </c>
      <c r="B285" s="1" t="s">
        <v>1378</v>
      </c>
      <c r="C285" s="2" t="s">
        <v>203</v>
      </c>
      <c r="D285" s="4" t="s">
        <v>1548</v>
      </c>
      <c r="E285" s="3" t="s">
        <v>1548</v>
      </c>
      <c r="F285" s="1" t="s">
        <v>401</v>
      </c>
      <c r="G285" s="2" t="s">
        <v>1588</v>
      </c>
      <c r="H285" s="1"/>
      <c r="I285" s="1" t="str">
        <f>Table1[[#This Row],[idh]]</f>
        <v>11B</v>
      </c>
      <c r="J285" s="1" t="str">
        <f>CONCATENATE("an",Table1[[#This Row],[name]],"_ID")</f>
        <v>anStaff_ID</v>
      </c>
      <c r="K285" s="1" t="str">
        <f>CONCATENATE(Table1[[#This Row],[asm]]," = $",Table1[[#This Row],[idh]])</f>
        <v>anStaff_ID = $11B</v>
      </c>
      <c r="L285" s="1" t="str">
        <f>CONCATENATE("animNames.append(""",Table1[[#This Row],[name]],""")")</f>
        <v>animNames.append("Staff")</v>
      </c>
      <c r="M285" s="8" t="str">
        <f>CONCATENATE("reqSprBanks.append(0x",Table1[[#This Row],[imgbank]],")")</f>
        <v>reqSprBanks.append(0x04,0A)</v>
      </c>
    </row>
    <row r="286" spans="1:13" x14ac:dyDescent="0.25">
      <c r="A286" s="1">
        <v>284</v>
      </c>
      <c r="B286" s="1" t="s">
        <v>1379</v>
      </c>
      <c r="C286" s="2" t="s">
        <v>204</v>
      </c>
      <c r="D286" s="4" t="s">
        <v>1555</v>
      </c>
      <c r="E286" s="3" t="s">
        <v>1555</v>
      </c>
      <c r="F286" s="1" t="s">
        <v>401</v>
      </c>
      <c r="G286" s="2" t="s">
        <v>1588</v>
      </c>
      <c r="H286" s="1"/>
      <c r="I286" s="1" t="str">
        <f>Table1[[#This Row],[idh]]</f>
        <v>11C</v>
      </c>
      <c r="J286" s="1" t="str">
        <f>CONCATENATE("an",Table1[[#This Row],[name]],"_ID")</f>
        <v>anTree_ID</v>
      </c>
      <c r="K286" s="1" t="str">
        <f>CONCATENATE(Table1[[#This Row],[asm]]," = $",Table1[[#This Row],[idh]])</f>
        <v>anTree_ID = $11C</v>
      </c>
      <c r="L286" s="1" t="str">
        <f>CONCATENATE("animNames.append(""",Table1[[#This Row],[name]],""")")</f>
        <v>animNames.append("Tree")</v>
      </c>
      <c r="M286" s="8" t="str">
        <f>CONCATENATE("reqSprBanks.append(0x",Table1[[#This Row],[imgbank]],")")</f>
        <v>reqSprBanks.append(0x04,0A)</v>
      </c>
    </row>
    <row r="287" spans="1:13" x14ac:dyDescent="0.25">
      <c r="A287" s="1">
        <v>285</v>
      </c>
      <c r="B287" s="1" t="s">
        <v>1380</v>
      </c>
      <c r="C287" s="2" t="s">
        <v>205</v>
      </c>
      <c r="D287" s="4" t="s">
        <v>1556</v>
      </c>
      <c r="E287" s="3" t="s">
        <v>1556</v>
      </c>
      <c r="F287" s="1" t="s">
        <v>401</v>
      </c>
      <c r="G287" s="2" t="s">
        <v>1588</v>
      </c>
      <c r="H287" s="1"/>
      <c r="I287" s="1" t="str">
        <f>Table1[[#This Row],[idh]]</f>
        <v>11D</v>
      </c>
      <c r="J287" s="1" t="str">
        <f>CONCATENATE("an",Table1[[#This Row],[name]],"_ID")</f>
        <v>anParasol_ID</v>
      </c>
      <c r="K287" s="1" t="str">
        <f>CONCATENATE(Table1[[#This Row],[asm]]," = $",Table1[[#This Row],[idh]])</f>
        <v>anParasol_ID = $11D</v>
      </c>
      <c r="L287" s="1" t="str">
        <f>CONCATENATE("animNames.append(""",Table1[[#This Row],[name]],""")")</f>
        <v>animNames.append("Parasol")</v>
      </c>
      <c r="M287" s="8" t="str">
        <f>CONCATENATE("reqSprBanks.append(0x",Table1[[#This Row],[imgbank]],")")</f>
        <v>reqSprBanks.append(0x04,0A)</v>
      </c>
    </row>
    <row r="288" spans="1:13" x14ac:dyDescent="0.25">
      <c r="A288" s="1">
        <v>286</v>
      </c>
      <c r="B288" s="1" t="s">
        <v>1381</v>
      </c>
      <c r="C288" s="2" t="s">
        <v>206</v>
      </c>
      <c r="D288" s="4" t="s">
        <v>1561</v>
      </c>
      <c r="E288" s="3" t="s">
        <v>1558</v>
      </c>
      <c r="F288" s="1" t="s">
        <v>401</v>
      </c>
      <c r="G288" s="2" t="s">
        <v>1588</v>
      </c>
      <c r="H288" s="1"/>
      <c r="I288" s="1" t="str">
        <f>Table1[[#This Row],[idh]]</f>
        <v>11E</v>
      </c>
      <c r="J288" s="1" t="str">
        <f>CONCATENATE("an",Table1[[#This Row],[name]],"_ID")</f>
        <v>an1UP_ID</v>
      </c>
      <c r="K288" s="1" t="str">
        <f>CONCATENATE(Table1[[#This Row],[asm]]," = $",Table1[[#This Row],[idh]])</f>
        <v>an1UP_ID = $11E</v>
      </c>
      <c r="L288" s="1" t="str">
        <f>CONCATENATE("animNames.append(""",Table1[[#This Row],[name]],""")")</f>
        <v>animNames.append("1UP")</v>
      </c>
      <c r="M288" s="8" t="str">
        <f>CONCATENATE("reqSprBanks.append(0x",Table1[[#This Row],[imgbank]],")")</f>
        <v>reqSprBanks.append(0x04,0A)</v>
      </c>
    </row>
    <row r="289" spans="1:13" x14ac:dyDescent="0.25">
      <c r="A289" s="1">
        <v>287</v>
      </c>
      <c r="B289" s="1" t="s">
        <v>1382</v>
      </c>
      <c r="C289" s="2" t="s">
        <v>207</v>
      </c>
      <c r="D289" s="4" t="s">
        <v>1562</v>
      </c>
      <c r="E289" s="3" t="s">
        <v>1557</v>
      </c>
      <c r="F289" s="1" t="s">
        <v>401</v>
      </c>
      <c r="G289" s="2" t="s">
        <v>1588</v>
      </c>
      <c r="H289" s="1"/>
      <c r="I289" s="1" t="str">
        <f>Table1[[#This Row],[idh]]</f>
        <v>11F</v>
      </c>
      <c r="J289" s="1" t="str">
        <f>CONCATENATE("an",Table1[[#This Row],[name]],"_ID")</f>
        <v>anSpinyChestnut_ID</v>
      </c>
      <c r="K289" s="1" t="str">
        <f>CONCATENATE(Table1[[#This Row],[asm]]," = $",Table1[[#This Row],[idh]])</f>
        <v>anSpinyChestnut_ID = $11F</v>
      </c>
      <c r="L289" s="1" t="str">
        <f>CONCATENATE("animNames.append(""",Table1[[#This Row],[name]],""")")</f>
        <v>animNames.append("SpinyChestnut")</v>
      </c>
      <c r="M289" s="8" t="str">
        <f>CONCATENATE("reqSprBanks.append(0x",Table1[[#This Row],[imgbank]],")")</f>
        <v>reqSprBanks.append(0x04,0A)</v>
      </c>
    </row>
    <row r="290" spans="1:13" x14ac:dyDescent="0.25">
      <c r="A290" s="1">
        <v>288</v>
      </c>
      <c r="B290" s="1" t="s">
        <v>1383</v>
      </c>
      <c r="C290" s="2" t="s">
        <v>208</v>
      </c>
      <c r="D290" s="1" t="s">
        <v>982</v>
      </c>
      <c r="E290" s="3" t="s">
        <v>672</v>
      </c>
      <c r="F290" s="1" t="s">
        <v>440</v>
      </c>
      <c r="G290" s="2" t="s">
        <v>1588</v>
      </c>
      <c r="H290" s="1"/>
      <c r="I290" s="1" t="str">
        <f>Table1[[#This Row],[idh]]</f>
        <v>120</v>
      </c>
      <c r="J290" s="1" t="str">
        <f>CONCATENATE("an",Table1[[#This Row],[name]],"_ID")</f>
        <v>anDrinkThunder_ID</v>
      </c>
      <c r="K290" s="1" t="str">
        <f>CONCATENATE(Table1[[#This Row],[asm]]," = $",Table1[[#This Row],[idh]])</f>
        <v>anDrinkThunder_ID = $120</v>
      </c>
      <c r="L290" s="1" t="str">
        <f>CONCATENATE("animNames.append(""",Table1[[#This Row],[name]],""")")</f>
        <v>animNames.append("DrinkThunder")</v>
      </c>
      <c r="M290" s="8" t="str">
        <f>CONCATENATE("reqSprBanks.append(0x",Table1[[#This Row],[imgbank]],")")</f>
        <v>reqSprBanks.append(0x04,0A)</v>
      </c>
    </row>
    <row r="291" spans="1:13" x14ac:dyDescent="0.25">
      <c r="A291" s="1">
        <v>289</v>
      </c>
      <c r="B291" s="1" t="s">
        <v>1384</v>
      </c>
      <c r="C291" s="2" t="s">
        <v>209</v>
      </c>
      <c r="D291" s="4" t="s">
        <v>981</v>
      </c>
      <c r="E291" s="3" t="s">
        <v>980</v>
      </c>
      <c r="F291" s="1" t="s">
        <v>440</v>
      </c>
      <c r="G291" s="2" t="s">
        <v>1588</v>
      </c>
      <c r="H291" s="1"/>
      <c r="I291" s="1" t="str">
        <f>Table1[[#This Row],[idh]]</f>
        <v>121</v>
      </c>
      <c r="J291" s="1" t="str">
        <f>CONCATENATE("an",Table1[[#This Row],[name]],"_ID")</f>
        <v>anTractorMissile_ID</v>
      </c>
      <c r="K291" s="1" t="str">
        <f>CONCATENATE(Table1[[#This Row],[asm]]," = $",Table1[[#This Row],[idh]])</f>
        <v>anTractorMissile_ID = $121</v>
      </c>
      <c r="L291" s="1" t="str">
        <f>CONCATENATE("animNames.append(""",Table1[[#This Row],[name]],""")")</f>
        <v>animNames.append("TractorMissile")</v>
      </c>
      <c r="M291" s="8" t="str">
        <f>CONCATENATE("reqSprBanks.append(0x",Table1[[#This Row],[imgbank]],")")</f>
        <v>reqSprBanks.append(0x04,0A)</v>
      </c>
    </row>
    <row r="292" spans="1:13" x14ac:dyDescent="0.25">
      <c r="A292" s="1">
        <v>290</v>
      </c>
      <c r="B292" s="1" t="s">
        <v>1385</v>
      </c>
      <c r="C292" s="2" t="s">
        <v>210</v>
      </c>
      <c r="D292" s="1" t="str">
        <f>CONCATENATE("UNK",Table1[[#This Row],[idh]])</f>
        <v>UNK122</v>
      </c>
      <c r="E292" s="3" t="s">
        <v>979</v>
      </c>
      <c r="F292" s="1" t="s">
        <v>454</v>
      </c>
      <c r="G292" s="2" t="s">
        <v>1588</v>
      </c>
      <c r="H292" s="1"/>
      <c r="I292" s="1" t="str">
        <f>Table1[[#This Row],[idh]]</f>
        <v>122</v>
      </c>
      <c r="J292" s="1" t="str">
        <f>CONCATENATE("an",Table1[[#This Row],[name]],"_ID")</f>
        <v>anUNK122_ID</v>
      </c>
      <c r="K292" s="1" t="str">
        <f>CONCATENATE(Table1[[#This Row],[asm]]," = $",Table1[[#This Row],[idh]])</f>
        <v>anUNK122_ID = $122</v>
      </c>
      <c r="L292" s="1" t="str">
        <f>CONCATENATE("animNames.append(""",Table1[[#This Row],[name]],""")")</f>
        <v>animNames.append("UNK122")</v>
      </c>
      <c r="M292" s="8" t="str">
        <f>CONCATENATE("reqSprBanks.append(0x",Table1[[#This Row],[imgbank]],")")</f>
        <v>reqSprBanks.append(0x04,0A)</v>
      </c>
    </row>
    <row r="293" spans="1:13" x14ac:dyDescent="0.25">
      <c r="A293" s="1">
        <v>291</v>
      </c>
      <c r="B293" s="1" t="s">
        <v>1386</v>
      </c>
      <c r="C293" s="2" t="s">
        <v>211</v>
      </c>
      <c r="D293" s="1" t="s">
        <v>983</v>
      </c>
      <c r="E293" s="3" t="s">
        <v>673</v>
      </c>
      <c r="F293" s="1" t="s">
        <v>453</v>
      </c>
      <c r="G293" s="2" t="s">
        <v>1588</v>
      </c>
      <c r="H293" s="1"/>
      <c r="I293" s="1" t="str">
        <f>Table1[[#This Row],[idh]]</f>
        <v>123</v>
      </c>
      <c r="J293" s="1" t="str">
        <f>CONCATENATE("an",Table1[[#This Row],[name]],"_ID")</f>
        <v>anDrinkStar_ID</v>
      </c>
      <c r="K293" s="1" t="str">
        <f>CONCATENATE(Table1[[#This Row],[asm]]," = $",Table1[[#This Row],[idh]])</f>
        <v>anDrinkStar_ID = $123</v>
      </c>
      <c r="L293" s="1" t="str">
        <f>CONCATENATE("animNames.append(""",Table1[[#This Row],[name]],""")")</f>
        <v>animNames.append("DrinkStar")</v>
      </c>
      <c r="M293" s="8" t="str">
        <f>CONCATENATE("reqSprBanks.append(0x",Table1[[#This Row],[imgbank]],")")</f>
        <v>reqSprBanks.append(0x04,0A)</v>
      </c>
    </row>
    <row r="294" spans="1:13" x14ac:dyDescent="0.25">
      <c r="A294" s="1">
        <v>292</v>
      </c>
      <c r="B294" s="1" t="s">
        <v>1387</v>
      </c>
      <c r="C294" s="2" t="s">
        <v>212</v>
      </c>
      <c r="D294" s="1" t="s">
        <v>984</v>
      </c>
      <c r="E294" s="3" t="s">
        <v>674</v>
      </c>
      <c r="F294" s="1" t="s">
        <v>451</v>
      </c>
      <c r="G294" s="2" t="s">
        <v>1588</v>
      </c>
      <c r="H294" s="1"/>
      <c r="I294" s="1" t="str">
        <f>Table1[[#This Row],[idh]]</f>
        <v>124</v>
      </c>
      <c r="J294" s="1" t="str">
        <f>CONCATENATE("an",Table1[[#This Row],[name]],"_ID")</f>
        <v>anDrinkSnow_ID</v>
      </c>
      <c r="K294" s="1" t="str">
        <f>CONCATENATE(Table1[[#This Row],[asm]]," = $",Table1[[#This Row],[idh]])</f>
        <v>anDrinkSnow_ID = $124</v>
      </c>
      <c r="L294" s="1" t="str">
        <f>CONCATENATE("animNames.append(""",Table1[[#This Row],[name]],""")")</f>
        <v>animNames.append("DrinkSnow")</v>
      </c>
      <c r="M294" s="8" t="str">
        <f>CONCATENATE("reqSprBanks.append(0x",Table1[[#This Row],[imgbank]],")")</f>
        <v>reqSprBanks.append(0x04,0A)</v>
      </c>
    </row>
    <row r="295" spans="1:13" x14ac:dyDescent="0.25">
      <c r="A295" s="1">
        <v>293</v>
      </c>
      <c r="B295" s="1" t="s">
        <v>1388</v>
      </c>
      <c r="C295" s="2" t="s">
        <v>213</v>
      </c>
      <c r="D295" s="1" t="s">
        <v>985</v>
      </c>
      <c r="E295" s="3" t="s">
        <v>675</v>
      </c>
      <c r="F295" s="1" t="s">
        <v>449</v>
      </c>
      <c r="G295" s="2" t="s">
        <v>1099</v>
      </c>
      <c r="H295" s="1"/>
      <c r="I295" s="1" t="str">
        <f>Table1[[#This Row],[idh]]</f>
        <v>125</v>
      </c>
      <c r="J295" s="1" t="str">
        <f>CONCATENATE("an",Table1[[#This Row],[name]],"_ID")</f>
        <v>anFlames4_ID</v>
      </c>
      <c r="K295" s="1" t="str">
        <f>CONCATENATE(Table1[[#This Row],[asm]]," = $",Table1[[#This Row],[idh]])</f>
        <v>anFlames4_ID = $125</v>
      </c>
      <c r="L295" s="1" t="str">
        <f>CONCATENATE("animNames.append(""",Table1[[#This Row],[name]],""")")</f>
        <v>animNames.append("Flames4")</v>
      </c>
      <c r="M295" s="8" t="str">
        <f>CONCATENATE("reqSprBanks.append(0x",Table1[[#This Row],[imgbank]],")")</f>
        <v>reqSprBanks.append(0x04)</v>
      </c>
    </row>
    <row r="296" spans="1:13" x14ac:dyDescent="0.25">
      <c r="A296" s="1">
        <v>294</v>
      </c>
      <c r="B296" s="1" t="s">
        <v>1389</v>
      </c>
      <c r="C296" s="2" t="s">
        <v>187</v>
      </c>
      <c r="D296" s="1" t="s">
        <v>961</v>
      </c>
      <c r="E296" s="3" t="s">
        <v>676</v>
      </c>
      <c r="F296" s="1" t="s">
        <v>448</v>
      </c>
      <c r="G296" s="2" t="s">
        <v>1099</v>
      </c>
      <c r="H296" s="1" t="s">
        <v>900</v>
      </c>
      <c r="I296" s="1" t="str">
        <f>Table1[[#This Row],[idh]]</f>
        <v>126</v>
      </c>
      <c r="J296" s="1" t="str">
        <f>CONCATENATE("an",Table1[[#This Row],[name]],"_ID")</f>
        <v>anTrashFallAlt2_ID</v>
      </c>
      <c r="K296" s="1" t="str">
        <f>CONCATENATE(Table1[[#This Row],[asm]]," = $",Table1[[#This Row],[idh]])</f>
        <v>anTrashFallAlt2_ID = $126</v>
      </c>
      <c r="L296" s="1" t="str">
        <f>CONCATENATE("animNames.append(""",Table1[[#This Row],[name]],""")")</f>
        <v>animNames.append("TrashFallAlt2")</v>
      </c>
      <c r="M296" s="8" t="str">
        <f>CONCATENATE("reqSprBanks.append(0x",Table1[[#This Row],[imgbank]],")")</f>
        <v>reqSprBanks.append(0x04)</v>
      </c>
    </row>
    <row r="297" spans="1:13" x14ac:dyDescent="0.25">
      <c r="A297" s="1">
        <v>295</v>
      </c>
      <c r="B297" s="1" t="s">
        <v>1390</v>
      </c>
      <c r="C297" s="2" t="s">
        <v>187</v>
      </c>
      <c r="D297" s="1" t="s">
        <v>962</v>
      </c>
      <c r="E297" s="3" t="s">
        <v>676</v>
      </c>
      <c r="F297" s="1" t="s">
        <v>448</v>
      </c>
      <c r="G297" s="2" t="s">
        <v>1099</v>
      </c>
      <c r="H297" s="1" t="s">
        <v>900</v>
      </c>
      <c r="I297" s="1" t="str">
        <f>Table1[[#This Row],[idh]]</f>
        <v>127</v>
      </c>
      <c r="J297" s="1" t="str">
        <f>CONCATENATE("an",Table1[[#This Row],[name]],"_ID")</f>
        <v>anTrashFallAlt3_ID</v>
      </c>
      <c r="K297" s="1" t="str">
        <f>CONCATENATE(Table1[[#This Row],[asm]]," = $",Table1[[#This Row],[idh]])</f>
        <v>anTrashFallAlt3_ID = $127</v>
      </c>
      <c r="L297" s="1" t="str">
        <f>CONCATENATE("animNames.append(""",Table1[[#This Row],[name]],""")")</f>
        <v>animNames.append("TrashFallAlt3")</v>
      </c>
      <c r="M297" s="8" t="str">
        <f>CONCATENATE("reqSprBanks.append(0x",Table1[[#This Row],[imgbank]],")")</f>
        <v>reqSprBanks.append(0x04)</v>
      </c>
    </row>
    <row r="298" spans="1:13" x14ac:dyDescent="0.25">
      <c r="A298" s="1">
        <v>296</v>
      </c>
      <c r="B298" s="1" t="s">
        <v>1391</v>
      </c>
      <c r="C298" s="2" t="s">
        <v>214</v>
      </c>
      <c r="D298" s="1" t="s">
        <v>987</v>
      </c>
      <c r="E298" s="3" t="s">
        <v>677</v>
      </c>
      <c r="F298" s="1" t="s">
        <v>449</v>
      </c>
      <c r="G298" s="2" t="s">
        <v>1099</v>
      </c>
      <c r="H298" s="1"/>
      <c r="I298" s="1" t="str">
        <f>Table1[[#This Row],[idh]]</f>
        <v>128</v>
      </c>
      <c r="J298" s="1" t="str">
        <f>CONCATENATE("an",Table1[[#This Row],[name]],"_ID")</f>
        <v>anFlames2_ID</v>
      </c>
      <c r="K298" s="1" t="str">
        <f>CONCATENATE(Table1[[#This Row],[asm]]," = $",Table1[[#This Row],[idh]])</f>
        <v>anFlames2_ID = $128</v>
      </c>
      <c r="L298" s="1" t="str">
        <f>CONCATENATE("animNames.append(""",Table1[[#This Row],[name]],""")")</f>
        <v>animNames.append("Flames2")</v>
      </c>
      <c r="M298" s="8" t="str">
        <f>CONCATENATE("reqSprBanks.append(0x",Table1[[#This Row],[imgbank]],")")</f>
        <v>reqSprBanks.append(0x04)</v>
      </c>
    </row>
    <row r="299" spans="1:13" x14ac:dyDescent="0.25">
      <c r="A299" s="1">
        <v>297</v>
      </c>
      <c r="B299" s="1" t="s">
        <v>1392</v>
      </c>
      <c r="C299" s="2" t="s">
        <v>215</v>
      </c>
      <c r="D299" s="1" t="s">
        <v>988</v>
      </c>
      <c r="E299" s="3" t="s">
        <v>986</v>
      </c>
      <c r="F299" s="1" t="s">
        <v>449</v>
      </c>
      <c r="G299" s="2" t="s">
        <v>1099</v>
      </c>
      <c r="H299" s="1"/>
      <c r="I299" s="1" t="str">
        <f>Table1[[#This Row],[idh]]</f>
        <v>129</v>
      </c>
      <c r="J299" s="1" t="str">
        <f>CONCATENATE("an",Table1[[#This Row],[name]],"_ID")</f>
        <v>anFlames2L_ID</v>
      </c>
      <c r="K299" s="1" t="str">
        <f>CONCATENATE(Table1[[#This Row],[asm]]," = $",Table1[[#This Row],[idh]])</f>
        <v>anFlames2L_ID = $129</v>
      </c>
      <c r="L299" s="1" t="str">
        <f>CONCATENATE("animNames.append(""",Table1[[#This Row],[name]],""")")</f>
        <v>animNames.append("Flames2L")</v>
      </c>
      <c r="M299" s="8" t="str">
        <f>CONCATENATE("reqSprBanks.append(0x",Table1[[#This Row],[imgbank]],")")</f>
        <v>reqSprBanks.append(0x04)</v>
      </c>
    </row>
    <row r="300" spans="1:13" x14ac:dyDescent="0.25">
      <c r="A300" s="1">
        <v>298</v>
      </c>
      <c r="B300" s="1" t="s">
        <v>1393</v>
      </c>
      <c r="C300" s="2" t="s">
        <v>216</v>
      </c>
      <c r="D300" s="1" t="s">
        <v>989</v>
      </c>
      <c r="E300" s="3" t="s">
        <v>678</v>
      </c>
      <c r="F300" s="1" t="s">
        <v>449</v>
      </c>
      <c r="G300" s="2" t="s">
        <v>1099</v>
      </c>
      <c r="H300" s="1"/>
      <c r="I300" s="1" t="str">
        <f>Table1[[#This Row],[idh]]</f>
        <v>12A</v>
      </c>
      <c r="J300" s="1" t="str">
        <f>CONCATENATE("an",Table1[[#This Row],[name]],"_ID")</f>
        <v>anFlames3_ID</v>
      </c>
      <c r="K300" s="1" t="str">
        <f>CONCATENATE(Table1[[#This Row],[asm]]," = $",Table1[[#This Row],[idh]])</f>
        <v>anFlames3_ID = $12A</v>
      </c>
      <c r="L300" s="1" t="str">
        <f>CONCATENATE("animNames.append(""",Table1[[#This Row],[name]],""")")</f>
        <v>animNames.append("Flames3")</v>
      </c>
      <c r="M300" s="8" t="str">
        <f>CONCATENATE("reqSprBanks.append(0x",Table1[[#This Row],[imgbank]],")")</f>
        <v>reqSprBanks.append(0x04)</v>
      </c>
    </row>
    <row r="301" spans="1:13" x14ac:dyDescent="0.25">
      <c r="A301" s="1">
        <v>299</v>
      </c>
      <c r="B301" s="1" t="s">
        <v>1394</v>
      </c>
      <c r="C301" s="2" t="s">
        <v>217</v>
      </c>
      <c r="D301" s="1" t="s">
        <v>991</v>
      </c>
      <c r="E301" s="3" t="s">
        <v>990</v>
      </c>
      <c r="F301" s="1" t="s">
        <v>449</v>
      </c>
      <c r="G301" s="2" t="s">
        <v>1099</v>
      </c>
      <c r="H301" s="1"/>
      <c r="I301" s="1" t="str">
        <f>Table1[[#This Row],[idh]]</f>
        <v>12B</v>
      </c>
      <c r="J301" s="1" t="str">
        <f>CONCATENATE("an",Table1[[#This Row],[name]],"_ID")</f>
        <v>anFlames3R_ID</v>
      </c>
      <c r="K301" s="1" t="str">
        <f>CONCATENATE(Table1[[#This Row],[asm]]," = $",Table1[[#This Row],[idh]])</f>
        <v>anFlames3R_ID = $12B</v>
      </c>
      <c r="L301" s="1" t="str">
        <f>CONCATENATE("animNames.append(""",Table1[[#This Row],[name]],""")")</f>
        <v>animNames.append("Flames3R")</v>
      </c>
      <c r="M301" s="8" t="str">
        <f>CONCATENATE("reqSprBanks.append(0x",Table1[[#This Row],[imgbank]],")")</f>
        <v>reqSprBanks.append(0x04)</v>
      </c>
    </row>
    <row r="302" spans="1:13" x14ac:dyDescent="0.25">
      <c r="A302" s="1">
        <v>300</v>
      </c>
      <c r="B302" s="1" t="s">
        <v>1395</v>
      </c>
      <c r="C302" s="2" t="s">
        <v>218</v>
      </c>
      <c r="D302" s="1" t="s">
        <v>993</v>
      </c>
      <c r="E302" s="3" t="s">
        <v>679</v>
      </c>
      <c r="F302" s="1" t="s">
        <v>450</v>
      </c>
      <c r="G302" s="2" t="s">
        <v>1099</v>
      </c>
      <c r="H302" s="1"/>
      <c r="I302" s="1" t="str">
        <f>Table1[[#This Row],[idh]]</f>
        <v>12C</v>
      </c>
      <c r="J302" s="1" t="str">
        <f>CONCATENATE("an",Table1[[#This Row],[name]],"_ID")</f>
        <v>anFloodH_ID</v>
      </c>
      <c r="K302" s="1" t="str">
        <f>CONCATENATE(Table1[[#This Row],[asm]]," = $",Table1[[#This Row],[idh]])</f>
        <v>anFloodH_ID = $12C</v>
      </c>
      <c r="L302" s="1" t="str">
        <f>CONCATENATE("animNames.append(""",Table1[[#This Row],[name]],""")")</f>
        <v>animNames.append("FloodH")</v>
      </c>
      <c r="M302" s="8" t="str">
        <f>CONCATENATE("reqSprBanks.append(0x",Table1[[#This Row],[imgbank]],")")</f>
        <v>reqSprBanks.append(0x04)</v>
      </c>
    </row>
    <row r="303" spans="1:13" x14ac:dyDescent="0.25">
      <c r="A303" s="1">
        <v>301</v>
      </c>
      <c r="B303" s="1" t="s">
        <v>1396</v>
      </c>
      <c r="C303" s="2" t="s">
        <v>357</v>
      </c>
      <c r="D303" s="4" t="s">
        <v>1517</v>
      </c>
      <c r="E303" s="3" t="s">
        <v>1516</v>
      </c>
      <c r="F303" s="1" t="s">
        <v>401</v>
      </c>
      <c r="G303" s="2" t="s">
        <v>1099</v>
      </c>
      <c r="H303" s="1"/>
      <c r="I303" s="1" t="str">
        <f>Table1[[#This Row],[idh]]</f>
        <v>12D</v>
      </c>
      <c r="J303" s="1" t="str">
        <f>CONCATENATE("an",Table1[[#This Row],[name]],"_ID")</f>
        <v>anBombBubble_ID</v>
      </c>
      <c r="K303" s="1" t="str">
        <f>CONCATENATE(Table1[[#This Row],[asm]]," = $",Table1[[#This Row],[idh]])</f>
        <v>anBombBubble_ID = $12D</v>
      </c>
      <c r="L303" s="1" t="str">
        <f>CONCATENATE("animNames.append(""",Table1[[#This Row],[name]],""")")</f>
        <v>animNames.append("BombBubble")</v>
      </c>
      <c r="M303" s="8" t="str">
        <f>CONCATENATE("reqSprBanks.append(0x",Table1[[#This Row],[imgbank]],")")</f>
        <v>reqSprBanks.append(0x04)</v>
      </c>
    </row>
    <row r="304" spans="1:13" x14ac:dyDescent="0.25">
      <c r="A304" s="1">
        <v>302</v>
      </c>
      <c r="B304" s="1" t="s">
        <v>1397</v>
      </c>
      <c r="C304" s="2" t="s">
        <v>219</v>
      </c>
      <c r="D304" s="1" t="s">
        <v>994</v>
      </c>
      <c r="E304" s="3" t="s">
        <v>680</v>
      </c>
      <c r="F304" s="1" t="s">
        <v>452</v>
      </c>
      <c r="G304" s="2" t="s">
        <v>1588</v>
      </c>
      <c r="H304" s="1"/>
      <c r="I304" s="1" t="str">
        <f>Table1[[#This Row],[idh]]</f>
        <v>12E</v>
      </c>
      <c r="J304" s="1" t="str">
        <f>CONCATENATE("an",Table1[[#This Row],[name]],"_ID")</f>
        <v>anDrinkWind_ID</v>
      </c>
      <c r="K304" s="1" t="str">
        <f>CONCATENATE(Table1[[#This Row],[asm]]," = $",Table1[[#This Row],[idh]])</f>
        <v>anDrinkWind_ID = $12E</v>
      </c>
      <c r="L304" s="1" t="str">
        <f>CONCATENATE("animNames.append(""",Table1[[#This Row],[name]],""")")</f>
        <v>animNames.append("DrinkWind")</v>
      </c>
      <c r="M304" s="8" t="str">
        <f>CONCATENATE("reqSprBanks.append(0x",Table1[[#This Row],[imgbank]],")")</f>
        <v>reqSprBanks.append(0x04,0A)</v>
      </c>
    </row>
    <row r="305" spans="1:13" x14ac:dyDescent="0.25">
      <c r="A305" s="1">
        <v>303</v>
      </c>
      <c r="B305" s="1" t="s">
        <v>1398</v>
      </c>
      <c r="C305" s="2" t="s">
        <v>220</v>
      </c>
      <c r="D305" s="1" t="s">
        <v>995</v>
      </c>
      <c r="E305" s="3" t="s">
        <v>681</v>
      </c>
      <c r="F305" s="1" t="s">
        <v>444</v>
      </c>
      <c r="G305" s="2" t="s">
        <v>1105</v>
      </c>
      <c r="H305" s="1"/>
      <c r="I305" s="1" t="str">
        <f>Table1[[#This Row],[idh]]</f>
        <v>12F</v>
      </c>
      <c r="J305" s="1" t="str">
        <f>CONCATENATE("an",Table1[[#This Row],[name]],"_ID")</f>
        <v>anRocDie_ID</v>
      </c>
      <c r="K305" s="1" t="str">
        <f>CONCATENATE(Table1[[#This Row],[asm]]," = $",Table1[[#This Row],[idh]])</f>
        <v>anRocDie_ID = $12F</v>
      </c>
      <c r="L305" s="1" t="str">
        <f>CONCATENATE("animNames.append(""",Table1[[#This Row],[name]],""")")</f>
        <v>animNames.append("RocDie")</v>
      </c>
      <c r="M305" s="8" t="str">
        <f>CONCATENATE("reqSprBanks.append(0x",Table1[[#This Row],[imgbank]],")")</f>
        <v>reqSprBanks.append(0x0A)</v>
      </c>
    </row>
    <row r="306" spans="1:13" x14ac:dyDescent="0.25">
      <c r="A306" s="1">
        <v>304</v>
      </c>
      <c r="B306" s="1" t="s">
        <v>1399</v>
      </c>
      <c r="C306" s="2" t="s">
        <v>221</v>
      </c>
      <c r="D306" s="1" t="s">
        <v>996</v>
      </c>
      <c r="E306" s="3" t="s">
        <v>682</v>
      </c>
      <c r="F306" s="1" t="s">
        <v>455</v>
      </c>
      <c r="G306" s="2" t="s">
        <v>1105</v>
      </c>
      <c r="H306" s="1"/>
      <c r="I306" s="1" t="str">
        <f>Table1[[#This Row],[idh]]</f>
        <v>130</v>
      </c>
      <c r="J306" s="1" t="str">
        <f>CONCATENATE("an",Table1[[#This Row],[name]],"_ID")</f>
        <v>anPlayerSmallL_ID</v>
      </c>
      <c r="K306" s="1" t="str">
        <f>CONCATENATE(Table1[[#This Row],[asm]]," = $",Table1[[#This Row],[idh]])</f>
        <v>anPlayerSmallL_ID = $130</v>
      </c>
      <c r="L306" s="1" t="str">
        <f>CONCATENATE("animNames.append(""",Table1[[#This Row],[name]],""")")</f>
        <v>animNames.append("PlayerSmallL")</v>
      </c>
      <c r="M306" s="8" t="str">
        <f>CONCATENATE("reqSprBanks.append(0x",Table1[[#This Row],[imgbank]],")")</f>
        <v>reqSprBanks.append(0x0A)</v>
      </c>
    </row>
    <row r="307" spans="1:13" x14ac:dyDescent="0.25">
      <c r="A307" s="1">
        <v>305</v>
      </c>
      <c r="B307" s="1" t="s">
        <v>1400</v>
      </c>
      <c r="C307" s="2" t="s">
        <v>222</v>
      </c>
      <c r="D307" s="1" t="s">
        <v>997</v>
      </c>
      <c r="E307" s="3" t="s">
        <v>683</v>
      </c>
      <c r="F307" s="1" t="s">
        <v>455</v>
      </c>
      <c r="G307" s="2" t="s">
        <v>1105</v>
      </c>
      <c r="H307" s="1"/>
      <c r="I307" s="1" t="str">
        <f>Table1[[#This Row],[idh]]</f>
        <v>131</v>
      </c>
      <c r="J307" s="1" t="str">
        <f>CONCATENATE("an",Table1[[#This Row],[name]],"_ID")</f>
        <v>anPlayerSmallR_ID</v>
      </c>
      <c r="K307" s="1" t="str">
        <f>CONCATENATE(Table1[[#This Row],[asm]]," = $",Table1[[#This Row],[idh]])</f>
        <v>anPlayerSmallR_ID = $131</v>
      </c>
      <c r="L307" s="1" t="str">
        <f>CONCATENATE("animNames.append(""",Table1[[#This Row],[name]],""")")</f>
        <v>animNames.append("PlayerSmallR")</v>
      </c>
      <c r="M307" s="8" t="str">
        <f>CONCATENATE("reqSprBanks.append(0x",Table1[[#This Row],[imgbank]],")")</f>
        <v>reqSprBanks.append(0x0A)</v>
      </c>
    </row>
    <row r="308" spans="1:13" x14ac:dyDescent="0.25">
      <c r="A308" s="1">
        <v>306</v>
      </c>
      <c r="B308" s="1" t="s">
        <v>1401</v>
      </c>
      <c r="C308" s="2" t="s">
        <v>223</v>
      </c>
      <c r="D308" s="1" t="s">
        <v>1000</v>
      </c>
      <c r="E308" s="3" t="s">
        <v>684</v>
      </c>
      <c r="F308" s="1" t="s">
        <v>435</v>
      </c>
      <c r="G308" s="2" t="s">
        <v>1099</v>
      </c>
      <c r="H308" s="1"/>
      <c r="I308" s="1" t="str">
        <f>Table1[[#This Row],[idh]]</f>
        <v>132</v>
      </c>
      <c r="J308" s="1" t="str">
        <f>CONCATENATE("an",Table1[[#This Row],[name]],"_ID")</f>
        <v>anChuckerBlast_ID</v>
      </c>
      <c r="K308" s="1" t="str">
        <f>CONCATENATE(Table1[[#This Row],[asm]]," = $",Table1[[#This Row],[idh]])</f>
        <v>anChuckerBlast_ID = $132</v>
      </c>
      <c r="L308" s="1" t="str">
        <f>CONCATENATE("animNames.append(""",Table1[[#This Row],[name]],""")")</f>
        <v>animNames.append("ChuckerBlast")</v>
      </c>
      <c r="M308" s="8" t="str">
        <f>CONCATENATE("reqSprBanks.append(0x",Table1[[#This Row],[imgbank]],")")</f>
        <v>reqSprBanks.append(0x04)</v>
      </c>
    </row>
    <row r="309" spans="1:13" x14ac:dyDescent="0.25">
      <c r="A309" s="1">
        <v>307</v>
      </c>
      <c r="B309" s="1" t="s">
        <v>1402</v>
      </c>
      <c r="C309" s="2" t="s">
        <v>224</v>
      </c>
      <c r="D309" s="4" t="s">
        <v>1568</v>
      </c>
      <c r="E309" s="3" t="s">
        <v>1567</v>
      </c>
      <c r="F309" s="1" t="s">
        <v>454</v>
      </c>
      <c r="G309" s="2" t="s">
        <v>1099</v>
      </c>
      <c r="H309" s="1"/>
      <c r="I309" s="1" t="str">
        <f>Table1[[#This Row],[idh]]</f>
        <v>133</v>
      </c>
      <c r="J309" s="1" t="str">
        <f>CONCATENATE("an",Table1[[#This Row],[name]],"_ID")</f>
        <v>anFlashingCircle_ID</v>
      </c>
      <c r="K309" s="1" t="str">
        <f>CONCATENATE(Table1[[#This Row],[asm]]," = $",Table1[[#This Row],[idh]])</f>
        <v>anFlashingCircle_ID = $133</v>
      </c>
      <c r="L309" s="1" t="str">
        <f>CONCATENATE("animNames.append(""",Table1[[#This Row],[name]],""")")</f>
        <v>animNames.append("FlashingCircle")</v>
      </c>
      <c r="M309" s="8" t="str">
        <f>CONCATENATE("reqSprBanks.append(0x",Table1[[#This Row],[imgbank]],")")</f>
        <v>reqSprBanks.append(0x04)</v>
      </c>
    </row>
    <row r="310" spans="1:13" x14ac:dyDescent="0.25">
      <c r="A310" s="1">
        <v>308</v>
      </c>
      <c r="B310" s="1" t="s">
        <v>1403</v>
      </c>
      <c r="C310" s="2" t="s">
        <v>225</v>
      </c>
      <c r="D310" s="1" t="s">
        <v>998</v>
      </c>
      <c r="E310" s="3" t="s">
        <v>685</v>
      </c>
      <c r="F310" s="1" t="s">
        <v>455</v>
      </c>
      <c r="G310" s="2" t="s">
        <v>1105</v>
      </c>
      <c r="H310" s="1"/>
      <c r="I310" s="1" t="str">
        <f>Table1[[#This Row],[idh]]</f>
        <v>134</v>
      </c>
      <c r="J310" s="1" t="str">
        <f>CONCATENATE("an",Table1[[#This Row],[name]],"_ID")</f>
        <v>anPlayerSmallWalkL_ID</v>
      </c>
      <c r="K310" s="1" t="str">
        <f>CONCATENATE(Table1[[#This Row],[asm]]," = $",Table1[[#This Row],[idh]])</f>
        <v>anPlayerSmallWalkL_ID = $134</v>
      </c>
      <c r="L310" s="1" t="str">
        <f>CONCATENATE("animNames.append(""",Table1[[#This Row],[name]],""")")</f>
        <v>animNames.append("PlayerSmallWalkL")</v>
      </c>
      <c r="M310" s="8" t="str">
        <f>CONCATENATE("reqSprBanks.append(0x",Table1[[#This Row],[imgbank]],")")</f>
        <v>reqSprBanks.append(0x0A)</v>
      </c>
    </row>
    <row r="311" spans="1:13" x14ac:dyDescent="0.25">
      <c r="A311" s="1">
        <v>309</v>
      </c>
      <c r="B311" s="1" t="s">
        <v>1404</v>
      </c>
      <c r="C311" s="2" t="s">
        <v>226</v>
      </c>
      <c r="D311" s="1" t="s">
        <v>999</v>
      </c>
      <c r="E311" s="3" t="s">
        <v>686</v>
      </c>
      <c r="F311" s="1" t="s">
        <v>455</v>
      </c>
      <c r="G311" s="2" t="s">
        <v>1105</v>
      </c>
      <c r="H311" s="1"/>
      <c r="I311" s="1" t="str">
        <f>Table1[[#This Row],[idh]]</f>
        <v>135</v>
      </c>
      <c r="J311" s="1" t="str">
        <f>CONCATENATE("an",Table1[[#This Row],[name]],"_ID")</f>
        <v>anPlayerSmallWalkR_ID</v>
      </c>
      <c r="K311" s="1" t="str">
        <f>CONCATENATE(Table1[[#This Row],[asm]]," = $",Table1[[#This Row],[idh]])</f>
        <v>anPlayerSmallWalkR_ID = $135</v>
      </c>
      <c r="L311" s="1" t="str">
        <f>CONCATENATE("animNames.append(""",Table1[[#This Row],[name]],""")")</f>
        <v>animNames.append("PlayerSmallWalkR")</v>
      </c>
      <c r="M311" s="8" t="str">
        <f>CONCATENATE("reqSprBanks.append(0x",Table1[[#This Row],[imgbank]],")")</f>
        <v>reqSprBanks.append(0x0A)</v>
      </c>
    </row>
    <row r="312" spans="1:13" x14ac:dyDescent="0.25">
      <c r="A312" s="1">
        <v>310</v>
      </c>
      <c r="B312" s="1" t="s">
        <v>1405</v>
      </c>
      <c r="C312" s="2" t="s">
        <v>223</v>
      </c>
      <c r="D312" s="1" t="s">
        <v>1001</v>
      </c>
      <c r="E312" s="3" t="s">
        <v>687</v>
      </c>
      <c r="F312" s="1" t="s">
        <v>435</v>
      </c>
      <c r="G312" s="2" t="s">
        <v>1099</v>
      </c>
      <c r="H312" s="1" t="s">
        <v>900</v>
      </c>
      <c r="I312" s="1" t="str">
        <f>Table1[[#This Row],[idh]]</f>
        <v>136</v>
      </c>
      <c r="J312" s="1" t="str">
        <f>CONCATENATE("an",Table1[[#This Row],[name]],"_ID")</f>
        <v>anChuckerBlastAlt_ID</v>
      </c>
      <c r="K312" s="1" t="str">
        <f>CONCATENATE(Table1[[#This Row],[asm]]," = $",Table1[[#This Row],[idh]])</f>
        <v>anChuckerBlastAlt_ID = $136</v>
      </c>
      <c r="L312" s="1" t="str">
        <f>CONCATENATE("animNames.append(""",Table1[[#This Row],[name]],""")")</f>
        <v>animNames.append("ChuckerBlastAlt")</v>
      </c>
      <c r="M312" s="8" t="str">
        <f>CONCATENATE("reqSprBanks.append(0x",Table1[[#This Row],[imgbank]],")")</f>
        <v>reqSprBanks.append(0x04)</v>
      </c>
    </row>
    <row r="313" spans="1:13" x14ac:dyDescent="0.25">
      <c r="A313" s="1">
        <v>311</v>
      </c>
      <c r="B313" s="1" t="s">
        <v>1406</v>
      </c>
      <c r="C313" s="2" t="s">
        <v>227</v>
      </c>
      <c r="D313" s="1" t="s">
        <v>1002</v>
      </c>
      <c r="E313" s="3" t="s">
        <v>688</v>
      </c>
      <c r="F313" s="1" t="s">
        <v>444</v>
      </c>
      <c r="G313" s="2" t="s">
        <v>1105</v>
      </c>
      <c r="H313" s="1"/>
      <c r="I313" s="1" t="str">
        <f>Table1[[#This Row],[idh]]</f>
        <v>137</v>
      </c>
      <c r="J313" s="1" t="str">
        <f>CONCATENATE("an",Table1[[#This Row],[name]],"_ID")</f>
        <v>anRocSmallLightning_ID</v>
      </c>
      <c r="K313" s="1" t="str">
        <f>CONCATENATE(Table1[[#This Row],[asm]]," = $",Table1[[#This Row],[idh]])</f>
        <v>anRocSmallLightning_ID = $137</v>
      </c>
      <c r="L313" s="1" t="str">
        <f>CONCATENATE("animNames.append(""",Table1[[#This Row],[name]],""")")</f>
        <v>animNames.append("RocSmallLightning")</v>
      </c>
      <c r="M313" s="8" t="str">
        <f>CONCATENATE("reqSprBanks.append(0x",Table1[[#This Row],[imgbank]],")")</f>
        <v>reqSprBanks.append(0x0A)</v>
      </c>
    </row>
    <row r="314" spans="1:13" x14ac:dyDescent="0.25">
      <c r="A314" s="1">
        <v>312</v>
      </c>
      <c r="B314" s="1" t="s">
        <v>1407</v>
      </c>
      <c r="C314" s="2" t="s">
        <v>228</v>
      </c>
      <c r="D314" s="4" t="s">
        <v>1569</v>
      </c>
      <c r="E314" s="3" t="s">
        <v>1573</v>
      </c>
      <c r="F314" s="1" t="s">
        <v>401</v>
      </c>
      <c r="G314" s="2" t="s">
        <v>1099</v>
      </c>
      <c r="H314" s="1"/>
      <c r="I314" s="1" t="str">
        <f>Table1[[#This Row],[idh]]</f>
        <v>138</v>
      </c>
      <c r="J314" s="1" t="str">
        <f>CONCATENATE("an",Table1[[#This Row],[name]],"_ID")</f>
        <v>anSkelMonstaL_ID</v>
      </c>
      <c r="K314" s="1" t="str">
        <f>CONCATENATE(Table1[[#This Row],[asm]]," = $",Table1[[#This Row],[idh]])</f>
        <v>anSkelMonstaL_ID = $138</v>
      </c>
      <c r="L314" s="1" t="str">
        <f>CONCATENATE("animNames.append(""",Table1[[#This Row],[name]],""")")</f>
        <v>animNames.append("SkelMonstaL")</v>
      </c>
      <c r="M314" s="8" t="str">
        <f>CONCATENATE("reqSprBanks.append(0x",Table1[[#This Row],[imgbank]],")")</f>
        <v>reqSprBanks.append(0x04)</v>
      </c>
    </row>
    <row r="315" spans="1:13" x14ac:dyDescent="0.25">
      <c r="A315" s="1">
        <v>313</v>
      </c>
      <c r="B315" s="1" t="s">
        <v>1408</v>
      </c>
      <c r="C315" s="2" t="s">
        <v>229</v>
      </c>
      <c r="D315" s="4" t="s">
        <v>1570</v>
      </c>
      <c r="E315" s="3" t="s">
        <v>1573</v>
      </c>
      <c r="F315" s="1" t="s">
        <v>401</v>
      </c>
      <c r="G315" s="2" t="s">
        <v>1099</v>
      </c>
      <c r="H315" s="1"/>
      <c r="I315" s="1" t="str">
        <f>Table1[[#This Row],[idh]]</f>
        <v>139</v>
      </c>
      <c r="J315" s="1" t="str">
        <f>CONCATENATE("an",Table1[[#This Row],[name]],"_ID")</f>
        <v>anSkelMonstaR_ID</v>
      </c>
      <c r="K315" s="1" t="str">
        <f>CONCATENATE(Table1[[#This Row],[asm]]," = $",Table1[[#This Row],[idh]])</f>
        <v>anSkelMonstaR_ID = $139</v>
      </c>
      <c r="L315" s="1" t="str">
        <f>CONCATENATE("animNames.append(""",Table1[[#This Row],[name]],""")")</f>
        <v>animNames.append("SkelMonstaR")</v>
      </c>
      <c r="M315" s="8" t="str">
        <f>CONCATENATE("reqSprBanks.append(0x",Table1[[#This Row],[imgbank]],")")</f>
        <v>reqSprBanks.append(0x04)</v>
      </c>
    </row>
    <row r="316" spans="1:13" x14ac:dyDescent="0.25">
      <c r="A316" s="1">
        <v>314</v>
      </c>
      <c r="B316" s="1" t="s">
        <v>1409</v>
      </c>
      <c r="C316" s="2" t="s">
        <v>230</v>
      </c>
      <c r="D316" s="4" t="s">
        <v>1571</v>
      </c>
      <c r="E316" s="3" t="s">
        <v>1573</v>
      </c>
      <c r="F316" s="1" t="s">
        <v>401</v>
      </c>
      <c r="G316" s="2" t="s">
        <v>1099</v>
      </c>
      <c r="H316" s="1"/>
      <c r="I316" s="1" t="str">
        <f>Table1[[#This Row],[idh]]</f>
        <v>13A</v>
      </c>
      <c r="J316" s="1" t="str">
        <f>CONCATENATE("an",Table1[[#This Row],[name]],"_ID")</f>
        <v>anSkelMonstaSpawn_ID</v>
      </c>
      <c r="K316" s="1" t="str">
        <f>CONCATENATE(Table1[[#This Row],[asm]]," = $",Table1[[#This Row],[idh]])</f>
        <v>anSkelMonstaSpawn_ID = $13A</v>
      </c>
      <c r="L316" s="1" t="str">
        <f>CONCATENATE("animNames.append(""",Table1[[#This Row],[name]],""")")</f>
        <v>animNames.append("SkelMonstaSpawn")</v>
      </c>
      <c r="M316" s="8" t="str">
        <f>CONCATENATE("reqSprBanks.append(0x",Table1[[#This Row],[imgbank]],")")</f>
        <v>reqSprBanks.append(0x04)</v>
      </c>
    </row>
    <row r="317" spans="1:13" x14ac:dyDescent="0.25">
      <c r="A317" s="1">
        <v>315</v>
      </c>
      <c r="B317" s="1" t="s">
        <v>1410</v>
      </c>
      <c r="C317" s="2" t="s">
        <v>231</v>
      </c>
      <c r="D317" s="4" t="s">
        <v>1572</v>
      </c>
      <c r="E317" s="3" t="s">
        <v>1573</v>
      </c>
      <c r="F317" s="1" t="s">
        <v>401</v>
      </c>
      <c r="G317" s="2" t="s">
        <v>1099</v>
      </c>
      <c r="H317" s="1"/>
      <c r="I317" s="1" t="str">
        <f>Table1[[#This Row],[idh]]</f>
        <v>13B</v>
      </c>
      <c r="J317" s="1" t="str">
        <f>CONCATENATE("an",Table1[[#This Row],[name]],"_ID")</f>
        <v>anSkelMonstaLeave_ID</v>
      </c>
      <c r="K317" s="1" t="str">
        <f>CONCATENATE(Table1[[#This Row],[asm]]," = $",Table1[[#This Row],[idh]])</f>
        <v>anSkelMonstaLeave_ID = $13B</v>
      </c>
      <c r="L317" s="1" t="str">
        <f>CONCATENATE("animNames.append(""",Table1[[#This Row],[name]],""")")</f>
        <v>animNames.append("SkelMonstaLeave")</v>
      </c>
      <c r="M317" s="8" t="str">
        <f>CONCATENATE("reqSprBanks.append(0x",Table1[[#This Row],[imgbank]],")")</f>
        <v>reqSprBanks.append(0x04)</v>
      </c>
    </row>
    <row r="318" spans="1:13" x14ac:dyDescent="0.25">
      <c r="A318" s="1">
        <v>316</v>
      </c>
      <c r="B318" s="1" t="s">
        <v>1411</v>
      </c>
      <c r="C318" s="2" t="s">
        <v>279</v>
      </c>
      <c r="D318" s="1" t="str">
        <f>CONCATENATE("UNK",Table1[[#This Row],[idh]])</f>
        <v>UNK13C</v>
      </c>
      <c r="E318" s="3" t="s">
        <v>1583</v>
      </c>
      <c r="F318" s="1" t="s">
        <v>401</v>
      </c>
      <c r="G318" s="2" t="s">
        <v>1099</v>
      </c>
      <c r="H318" s="1" t="s">
        <v>900</v>
      </c>
      <c r="I318" s="1" t="str">
        <f>Table1[[#This Row],[idh]]</f>
        <v>13C</v>
      </c>
      <c r="J318" s="1" t="str">
        <f>CONCATENATE("an",Table1[[#This Row],[name]],"_ID")</f>
        <v>anUNK13C_ID</v>
      </c>
      <c r="K318" s="1" t="str">
        <f>CONCATENATE(Table1[[#This Row],[asm]]," = $",Table1[[#This Row],[idh]])</f>
        <v>anUNK13C_ID = $13C</v>
      </c>
      <c r="L318" s="1" t="str">
        <f>CONCATENATE("animNames.append(""",Table1[[#This Row],[name]],""")")</f>
        <v>animNames.append("UNK13C")</v>
      </c>
      <c r="M318" s="8" t="str">
        <f>CONCATENATE("reqSprBanks.append(0x",Table1[[#This Row],[imgbank]],")")</f>
        <v>reqSprBanks.append(0x04)</v>
      </c>
    </row>
    <row r="319" spans="1:13" x14ac:dyDescent="0.25">
      <c r="A319" s="1">
        <v>317</v>
      </c>
      <c r="B319" s="1" t="s">
        <v>1412</v>
      </c>
      <c r="C319" s="2" t="s">
        <v>232</v>
      </c>
      <c r="D319" s="1" t="s">
        <v>1003</v>
      </c>
      <c r="E319" s="3" t="s">
        <v>689</v>
      </c>
      <c r="F319" s="1" t="s">
        <v>451</v>
      </c>
      <c r="G319" s="2" t="s">
        <v>1588</v>
      </c>
      <c r="H319" s="1"/>
      <c r="I319" s="1" t="str">
        <f>Table1[[#This Row],[idh]]</f>
        <v>13D</v>
      </c>
      <c r="J319" s="1" t="str">
        <f>CONCATENATE("an",Table1[[#This Row],[name]],"_ID")</f>
        <v>anSnowSpread_ID</v>
      </c>
      <c r="K319" s="1" t="str">
        <f>CONCATENATE(Table1[[#This Row],[asm]]," = $",Table1[[#This Row],[idh]])</f>
        <v>anSnowSpread_ID = $13D</v>
      </c>
      <c r="L319" s="1" t="str">
        <f>CONCATENATE("animNames.append(""",Table1[[#This Row],[name]],""")")</f>
        <v>animNames.append("SnowSpread")</v>
      </c>
      <c r="M319" s="8" t="str">
        <f>CONCATENATE("reqSprBanks.append(0x",Table1[[#This Row],[imgbank]],")")</f>
        <v>reqSprBanks.append(0x04,0A)</v>
      </c>
    </row>
    <row r="320" spans="1:13" x14ac:dyDescent="0.25">
      <c r="A320" s="1">
        <v>318</v>
      </c>
      <c r="B320" s="1" t="s">
        <v>1413</v>
      </c>
      <c r="C320" s="2" t="s">
        <v>233</v>
      </c>
      <c r="D320" s="1" t="s">
        <v>1004</v>
      </c>
      <c r="E320" s="3" t="s">
        <v>690</v>
      </c>
      <c r="F320" s="1" t="s">
        <v>451</v>
      </c>
      <c r="G320" s="2" t="s">
        <v>1588</v>
      </c>
      <c r="H320" s="1"/>
      <c r="I320" s="1" t="str">
        <f>Table1[[#This Row],[idh]]</f>
        <v>13E</v>
      </c>
      <c r="J320" s="1" t="str">
        <f>CONCATENATE("an",Table1[[#This Row],[name]],"_ID")</f>
        <v>anSnowFall_ID</v>
      </c>
      <c r="K320" s="1" t="str">
        <f>CONCATENATE(Table1[[#This Row],[asm]]," = $",Table1[[#This Row],[idh]])</f>
        <v>anSnowFall_ID = $13E</v>
      </c>
      <c r="L320" s="1" t="str">
        <f>CONCATENATE("animNames.append(""",Table1[[#This Row],[name]],""")")</f>
        <v>animNames.append("SnowFall")</v>
      </c>
      <c r="M320" s="8" t="str">
        <f>CONCATENATE("reqSprBanks.append(0x",Table1[[#This Row],[imgbank]],")")</f>
        <v>reqSprBanks.append(0x04,0A)</v>
      </c>
    </row>
    <row r="321" spans="1:13" x14ac:dyDescent="0.25">
      <c r="A321" s="1">
        <v>319</v>
      </c>
      <c r="B321" s="1" t="s">
        <v>1414</v>
      </c>
      <c r="C321" s="2" t="s">
        <v>358</v>
      </c>
      <c r="D321" s="1" t="s">
        <v>1007</v>
      </c>
      <c r="E321" s="3" t="s">
        <v>1005</v>
      </c>
      <c r="F321" s="1" t="s">
        <v>450</v>
      </c>
      <c r="G321" s="2" t="s">
        <v>1588</v>
      </c>
      <c r="H321" s="1"/>
      <c r="I321" s="1" t="str">
        <f>Table1[[#This Row],[idh]]</f>
        <v>13F</v>
      </c>
      <c r="J321" s="1" t="str">
        <f>CONCATENATE("an",Table1[[#This Row],[name]],"_ID")</f>
        <v>anFloodHAlt_ID</v>
      </c>
      <c r="K321" s="1" t="str">
        <f>CONCATENATE(Table1[[#This Row],[asm]]," = $",Table1[[#This Row],[idh]])</f>
        <v>anFloodHAlt_ID = $13F</v>
      </c>
      <c r="L321" s="1" t="str">
        <f>CONCATENATE("animNames.append(""",Table1[[#This Row],[name]],""")")</f>
        <v>animNames.append("FloodHAlt")</v>
      </c>
      <c r="M321" s="8" t="str">
        <f>CONCATENATE("reqSprBanks.append(0x",Table1[[#This Row],[imgbank]],")")</f>
        <v>reqSprBanks.append(0x04,0A)</v>
      </c>
    </row>
    <row r="322" spans="1:13" x14ac:dyDescent="0.25">
      <c r="A322" s="1">
        <v>320</v>
      </c>
      <c r="B322" s="1" t="s">
        <v>1415</v>
      </c>
      <c r="C322" s="2" t="s">
        <v>234</v>
      </c>
      <c r="D322" s="1" t="str">
        <f>CONCATENATE("UNK",Table1[[#This Row],[idh]])</f>
        <v>UNK140</v>
      </c>
      <c r="E322" s="3" t="s">
        <v>1006</v>
      </c>
      <c r="F322" s="1" t="s">
        <v>450</v>
      </c>
      <c r="G322" s="2" t="s">
        <v>1588</v>
      </c>
      <c r="H322" s="1"/>
      <c r="I322" s="1" t="str">
        <f>Table1[[#This Row],[idh]]</f>
        <v>140</v>
      </c>
      <c r="J322" s="1" t="str">
        <f>CONCATENATE("an",Table1[[#This Row],[name]],"_ID")</f>
        <v>anUNK140_ID</v>
      </c>
      <c r="K322" s="1" t="str">
        <f>CONCATENATE(Table1[[#This Row],[asm]]," = $",Table1[[#This Row],[idh]])</f>
        <v>anUNK140_ID = $140</v>
      </c>
      <c r="L322" s="1" t="str">
        <f>CONCATENATE("animNames.append(""",Table1[[#This Row],[name]],""")")</f>
        <v>animNames.append("UNK140")</v>
      </c>
      <c r="M322" s="8" t="str">
        <f>CONCATENATE("reqSprBanks.append(0x",Table1[[#This Row],[imgbank]],")")</f>
        <v>reqSprBanks.append(0x04,0A)</v>
      </c>
    </row>
    <row r="323" spans="1:13" x14ac:dyDescent="0.25">
      <c r="A323" s="1">
        <v>321</v>
      </c>
      <c r="B323" s="1" t="s">
        <v>1416</v>
      </c>
      <c r="C323" s="2" t="s">
        <v>235</v>
      </c>
      <c r="D323" s="1" t="str">
        <f>CONCATENATE("UNK",Table1[[#This Row],[idh]])</f>
        <v>UNK141</v>
      </c>
      <c r="E323" s="3" t="s">
        <v>1006</v>
      </c>
      <c r="F323" s="1" t="s">
        <v>450</v>
      </c>
      <c r="G323" s="2" t="s">
        <v>1588</v>
      </c>
      <c r="H323" s="1"/>
      <c r="I323" s="1" t="str">
        <f>Table1[[#This Row],[idh]]</f>
        <v>141</v>
      </c>
      <c r="J323" s="1" t="str">
        <f>CONCATENATE("an",Table1[[#This Row],[name]],"_ID")</f>
        <v>anUNK141_ID</v>
      </c>
      <c r="K323" s="1" t="str">
        <f>CONCATENATE(Table1[[#This Row],[asm]]," = $",Table1[[#This Row],[idh]])</f>
        <v>anUNK141_ID = $141</v>
      </c>
      <c r="L323" s="1" t="str">
        <f>CONCATENATE("animNames.append(""",Table1[[#This Row],[name]],""")")</f>
        <v>animNames.append("UNK141")</v>
      </c>
      <c r="M323" s="8" t="str">
        <f>CONCATENATE("reqSprBanks.append(0x",Table1[[#This Row],[imgbank]],")")</f>
        <v>reqSprBanks.append(0x04,0A)</v>
      </c>
    </row>
    <row r="324" spans="1:13" x14ac:dyDescent="0.25">
      <c r="A324" s="1">
        <v>322</v>
      </c>
      <c r="B324" s="1" t="s">
        <v>1417</v>
      </c>
      <c r="C324" s="2" t="s">
        <v>359</v>
      </c>
      <c r="D324" s="1" t="s">
        <v>1067</v>
      </c>
      <c r="E324" s="3" t="s">
        <v>691</v>
      </c>
      <c r="F324" s="1" t="s">
        <v>456</v>
      </c>
      <c r="G324" s="2" t="s">
        <v>1105</v>
      </c>
      <c r="H324" s="1"/>
      <c r="I324" s="1" t="str">
        <f>Table1[[#This Row],[idh]]</f>
        <v>142</v>
      </c>
      <c r="J324" s="1" t="str">
        <f>CONCATENATE("an",Table1[[#This Row],[name]],"_ID")</f>
        <v>anAnnounceRound_ID</v>
      </c>
      <c r="K324" s="1" t="str">
        <f>CONCATENATE(Table1[[#This Row],[asm]]," = $",Table1[[#This Row],[idh]])</f>
        <v>anAnnounceRound_ID = $142</v>
      </c>
      <c r="L324" s="1" t="str">
        <f>CONCATENATE("animNames.append(""",Table1[[#This Row],[name]],""")")</f>
        <v>animNames.append("AnnounceRound")</v>
      </c>
      <c r="M324" s="8" t="str">
        <f>CONCATENATE("reqSprBanks.append(0x",Table1[[#This Row],[imgbank]],")")</f>
        <v>reqSprBanks.append(0x0A)</v>
      </c>
    </row>
    <row r="325" spans="1:13" x14ac:dyDescent="0.25">
      <c r="A325" s="1">
        <v>323</v>
      </c>
      <c r="B325" s="1" t="s">
        <v>1418</v>
      </c>
      <c r="C325" s="2" t="s">
        <v>236</v>
      </c>
      <c r="D325" s="1" t="s">
        <v>1068</v>
      </c>
      <c r="E325" s="3" t="s">
        <v>692</v>
      </c>
      <c r="F325" s="1" t="s">
        <v>456</v>
      </c>
      <c r="G325" s="2" t="s">
        <v>1105</v>
      </c>
      <c r="H325" s="1"/>
      <c r="I325" s="1" t="str">
        <f>Table1[[#This Row],[idh]]</f>
        <v>143</v>
      </c>
      <c r="J325" s="1" t="str">
        <f>CONCATENATE("an",Table1[[#This Row],[name]],"_ID")</f>
        <v>anAnnounceClear_ID</v>
      </c>
      <c r="K325" s="1" t="str">
        <f>CONCATENATE(Table1[[#This Row],[asm]]," = $",Table1[[#This Row],[idh]])</f>
        <v>anAnnounceClear_ID = $143</v>
      </c>
      <c r="L325" s="1" t="str">
        <f>CONCATENATE("animNames.append(""",Table1[[#This Row],[name]],""")")</f>
        <v>animNames.append("AnnounceClear")</v>
      </c>
      <c r="M325" s="8" t="str">
        <f>CONCATENATE("reqSprBanks.append(0x",Table1[[#This Row],[imgbank]],")")</f>
        <v>reqSprBanks.append(0x0A)</v>
      </c>
    </row>
    <row r="326" spans="1:13" x14ac:dyDescent="0.25">
      <c r="A326" s="1">
        <v>324</v>
      </c>
      <c r="B326" s="1" t="s">
        <v>1419</v>
      </c>
      <c r="C326" s="2" t="s">
        <v>360</v>
      </c>
      <c r="D326" s="1" t="s">
        <v>1069</v>
      </c>
      <c r="E326" s="3" t="s">
        <v>693</v>
      </c>
      <c r="F326" s="1" t="s">
        <v>456</v>
      </c>
      <c r="G326" s="2" t="s">
        <v>1105</v>
      </c>
      <c r="H326" s="1"/>
      <c r="I326" s="1" t="str">
        <f>Table1[[#This Row],[idh]]</f>
        <v>144</v>
      </c>
      <c r="J326" s="1" t="str">
        <f>CONCATENATE("an",Table1[[#This Row],[name]],"_ID")</f>
        <v>anAnnounceBonus_ID</v>
      </c>
      <c r="K326" s="1" t="str">
        <f>CONCATENATE(Table1[[#This Row],[asm]]," = $",Table1[[#This Row],[idh]])</f>
        <v>anAnnounceBonus_ID = $144</v>
      </c>
      <c r="L326" s="1" t="str">
        <f>CONCATENATE("animNames.append(""",Table1[[#This Row],[name]],""")")</f>
        <v>animNames.append("AnnounceBonus")</v>
      </c>
      <c r="M326" s="8" t="str">
        <f>CONCATENATE("reqSprBanks.append(0x",Table1[[#This Row],[imgbank]],")")</f>
        <v>reqSprBanks.append(0x0A)</v>
      </c>
    </row>
    <row r="327" spans="1:13" x14ac:dyDescent="0.25">
      <c r="A327" s="1">
        <v>325</v>
      </c>
      <c r="B327" s="1" t="s">
        <v>1420</v>
      </c>
      <c r="C327" s="2" t="s">
        <v>361</v>
      </c>
      <c r="D327" s="1" t="s">
        <v>1070</v>
      </c>
      <c r="E327" s="3" t="s">
        <v>694</v>
      </c>
      <c r="F327" s="1" t="s">
        <v>456</v>
      </c>
      <c r="G327" s="2" t="s">
        <v>1105</v>
      </c>
      <c r="H327" s="1"/>
      <c r="I327" s="1" t="str">
        <f>Table1[[#This Row],[idh]]</f>
        <v>145</v>
      </c>
      <c r="J327" s="1" t="str">
        <f>CONCATENATE("an",Table1[[#This Row],[name]],"_ID")</f>
        <v>anAnnounceGame_ID</v>
      </c>
      <c r="K327" s="1" t="str">
        <f>CONCATENATE(Table1[[#This Row],[asm]]," = $",Table1[[#This Row],[idh]])</f>
        <v>anAnnounceGame_ID = $145</v>
      </c>
      <c r="L327" s="1" t="str">
        <f>CONCATENATE("animNames.append(""",Table1[[#This Row],[name]],""")")</f>
        <v>animNames.append("AnnounceGame")</v>
      </c>
      <c r="M327" s="8" t="str">
        <f>CONCATENATE("reqSprBanks.append(0x",Table1[[#This Row],[imgbank]],")")</f>
        <v>reqSprBanks.append(0x0A)</v>
      </c>
    </row>
    <row r="328" spans="1:13" x14ac:dyDescent="0.25">
      <c r="A328" s="1">
        <v>326</v>
      </c>
      <c r="B328" s="1" t="s">
        <v>1421</v>
      </c>
      <c r="C328" s="2" t="s">
        <v>237</v>
      </c>
      <c r="D328" s="1" t="s">
        <v>1071</v>
      </c>
      <c r="E328" s="3" t="s">
        <v>695</v>
      </c>
      <c r="F328" s="1" t="s">
        <v>456</v>
      </c>
      <c r="G328" s="2" t="s">
        <v>1105</v>
      </c>
      <c r="H328" s="1"/>
      <c r="I328" s="1" t="str">
        <f>Table1[[#This Row],[idh]]</f>
        <v>146</v>
      </c>
      <c r="J328" s="1" t="str">
        <f>CONCATENATE("an",Table1[[#This Row],[name]],"_ID")</f>
        <v>anAnnounceNo_ID</v>
      </c>
      <c r="K328" s="1" t="str">
        <f>CONCATENATE(Table1[[#This Row],[asm]]," = $",Table1[[#This Row],[idh]])</f>
        <v>anAnnounceNo_ID = $146</v>
      </c>
      <c r="L328" s="1" t="str">
        <f>CONCATENATE("animNames.append(""",Table1[[#This Row],[name]],""")")</f>
        <v>animNames.append("AnnounceNo")</v>
      </c>
      <c r="M328" s="8" t="str">
        <f>CONCATENATE("reqSprBanks.append(0x",Table1[[#This Row],[imgbank]],")")</f>
        <v>reqSprBanks.append(0x0A)</v>
      </c>
    </row>
    <row r="329" spans="1:13" x14ac:dyDescent="0.25">
      <c r="A329" s="1">
        <v>327</v>
      </c>
      <c r="B329" s="1" t="s">
        <v>1422</v>
      </c>
      <c r="C329" s="2" t="s">
        <v>238</v>
      </c>
      <c r="D329" s="1" t="s">
        <v>1072</v>
      </c>
      <c r="E329" s="3" t="s">
        <v>696</v>
      </c>
      <c r="F329" s="1" t="s">
        <v>456</v>
      </c>
      <c r="G329" s="2" t="s">
        <v>1105</v>
      </c>
      <c r="H329" s="1"/>
      <c r="I329" s="1" t="str">
        <f>Table1[[#This Row],[idh]]</f>
        <v>147</v>
      </c>
      <c r="J329" s="1" t="str">
        <f>CONCATENATE("an",Table1[[#This Row],[name]],"_ID")</f>
        <v>anAnnouncePause_ID</v>
      </c>
      <c r="K329" s="1" t="str">
        <f>CONCATENATE(Table1[[#This Row],[asm]]," = $",Table1[[#This Row],[idh]])</f>
        <v>anAnnouncePause_ID = $147</v>
      </c>
      <c r="L329" s="1" t="str">
        <f>CONCATENATE("animNames.append(""",Table1[[#This Row],[name]],""")")</f>
        <v>animNames.append("AnnouncePause")</v>
      </c>
      <c r="M329" s="8" t="str">
        <f>CONCATENATE("reqSprBanks.append(0x",Table1[[#This Row],[imgbank]],")")</f>
        <v>reqSprBanks.append(0x0A)</v>
      </c>
    </row>
    <row r="330" spans="1:13" x14ac:dyDescent="0.25">
      <c r="A330" s="1">
        <v>328</v>
      </c>
      <c r="B330" s="1" t="s">
        <v>1423</v>
      </c>
      <c r="C330" s="2" t="s">
        <v>362</v>
      </c>
      <c r="D330" s="1" t="s">
        <v>1073</v>
      </c>
      <c r="E330" s="3" t="s">
        <v>697</v>
      </c>
      <c r="F330" s="1" t="s">
        <v>456</v>
      </c>
      <c r="G330" s="2" t="s">
        <v>1105</v>
      </c>
      <c r="H330" s="1"/>
      <c r="I330" s="1" t="str">
        <f>Table1[[#This Row],[idh]]</f>
        <v>148</v>
      </c>
      <c r="J330" s="1" t="str">
        <f>CONCATENATE("an",Table1[[#This Row],[name]],"_ID")</f>
        <v>anAnnounceTheEnd_ID</v>
      </c>
      <c r="K330" s="1" t="str">
        <f>CONCATENATE(Table1[[#This Row],[asm]]," = $",Table1[[#This Row],[idh]])</f>
        <v>anAnnounceTheEnd_ID = $148</v>
      </c>
      <c r="L330" s="1" t="str">
        <f>CONCATENATE("animNames.append(""",Table1[[#This Row],[name]],""")")</f>
        <v>animNames.append("AnnounceTheEnd")</v>
      </c>
      <c r="M330" s="8" t="str">
        <f>CONCATENATE("reqSprBanks.append(0x",Table1[[#This Row],[imgbank]],")")</f>
        <v>reqSprBanks.append(0x0A)</v>
      </c>
    </row>
    <row r="331" spans="1:13" x14ac:dyDescent="0.25">
      <c r="A331" s="1">
        <v>329</v>
      </c>
      <c r="B331" s="1" t="s">
        <v>1424</v>
      </c>
      <c r="C331" s="2" t="s">
        <v>363</v>
      </c>
      <c r="D331" s="1" t="s">
        <v>1074</v>
      </c>
      <c r="E331" s="3">
        <v>0</v>
      </c>
      <c r="F331" s="1" t="s">
        <v>457</v>
      </c>
      <c r="G331" s="2" t="s">
        <v>1105</v>
      </c>
      <c r="H331" s="1"/>
      <c r="I331" s="1" t="str">
        <f>Table1[[#This Row],[idh]]</f>
        <v>149</v>
      </c>
      <c r="J331" s="1" t="str">
        <f>CONCATENATE("an",Table1[[#This Row],[name]],"_ID")</f>
        <v>anAnnounce0_ID</v>
      </c>
      <c r="K331" s="1" t="str">
        <f>CONCATENATE(Table1[[#This Row],[asm]]," = $",Table1[[#This Row],[idh]])</f>
        <v>anAnnounce0_ID = $149</v>
      </c>
      <c r="L331" s="1" t="str">
        <f>CONCATENATE("animNames.append(""",Table1[[#This Row],[name]],""")")</f>
        <v>animNames.append("Announce0")</v>
      </c>
      <c r="M331" s="8" t="str">
        <f>CONCATENATE("reqSprBanks.append(0x",Table1[[#This Row],[imgbank]],")")</f>
        <v>reqSprBanks.append(0x0A)</v>
      </c>
    </row>
    <row r="332" spans="1:13" x14ac:dyDescent="0.25">
      <c r="A332" s="1">
        <v>330</v>
      </c>
      <c r="B332" s="1" t="s">
        <v>1425</v>
      </c>
      <c r="C332" s="2" t="s">
        <v>239</v>
      </c>
      <c r="D332" s="1" t="s">
        <v>1075</v>
      </c>
      <c r="E332" s="3">
        <v>1</v>
      </c>
      <c r="F332" s="1" t="s">
        <v>457</v>
      </c>
      <c r="G332" s="2" t="s">
        <v>1105</v>
      </c>
      <c r="H332" s="1"/>
      <c r="I332" s="1" t="str">
        <f>Table1[[#This Row],[idh]]</f>
        <v>14A</v>
      </c>
      <c r="J332" s="1" t="str">
        <f>CONCATENATE("an",Table1[[#This Row],[name]],"_ID")</f>
        <v>anAnnounce1_ID</v>
      </c>
      <c r="K332" s="1" t="str">
        <f>CONCATENATE(Table1[[#This Row],[asm]]," = $",Table1[[#This Row],[idh]])</f>
        <v>anAnnounce1_ID = $14A</v>
      </c>
      <c r="L332" s="1" t="str">
        <f>CONCATENATE("animNames.append(""",Table1[[#This Row],[name]],""")")</f>
        <v>animNames.append("Announce1")</v>
      </c>
      <c r="M332" s="8" t="str">
        <f>CONCATENATE("reqSprBanks.append(0x",Table1[[#This Row],[imgbank]],")")</f>
        <v>reqSprBanks.append(0x0A)</v>
      </c>
    </row>
    <row r="333" spans="1:13" x14ac:dyDescent="0.25">
      <c r="A333" s="1">
        <v>331</v>
      </c>
      <c r="B333" s="1" t="s">
        <v>1426</v>
      </c>
      <c r="C333" s="2" t="s">
        <v>364</v>
      </c>
      <c r="D333" s="1" t="s">
        <v>1076</v>
      </c>
      <c r="E333" s="3">
        <v>2</v>
      </c>
      <c r="F333" s="1" t="s">
        <v>457</v>
      </c>
      <c r="G333" s="2" t="s">
        <v>1105</v>
      </c>
      <c r="H333" s="1"/>
      <c r="I333" s="1" t="str">
        <f>Table1[[#This Row],[idh]]</f>
        <v>14B</v>
      </c>
      <c r="J333" s="1" t="str">
        <f>CONCATENATE("an",Table1[[#This Row],[name]],"_ID")</f>
        <v>anAnnounce2_ID</v>
      </c>
      <c r="K333" s="1" t="str">
        <f>CONCATENATE(Table1[[#This Row],[asm]]," = $",Table1[[#This Row],[idh]])</f>
        <v>anAnnounce2_ID = $14B</v>
      </c>
      <c r="L333" s="1" t="str">
        <f>CONCATENATE("animNames.append(""",Table1[[#This Row],[name]],""")")</f>
        <v>animNames.append("Announce2")</v>
      </c>
      <c r="M333" s="8" t="str">
        <f>CONCATENATE("reqSprBanks.append(0x",Table1[[#This Row],[imgbank]],")")</f>
        <v>reqSprBanks.append(0x0A)</v>
      </c>
    </row>
    <row r="334" spans="1:13" x14ac:dyDescent="0.25">
      <c r="A334" s="1">
        <v>332</v>
      </c>
      <c r="B334" s="1" t="s">
        <v>1427</v>
      </c>
      <c r="C334" s="2" t="s">
        <v>365</v>
      </c>
      <c r="D334" s="1" t="s">
        <v>1077</v>
      </c>
      <c r="E334" s="3">
        <v>3</v>
      </c>
      <c r="F334" s="1" t="s">
        <v>457</v>
      </c>
      <c r="G334" s="2" t="s">
        <v>1105</v>
      </c>
      <c r="H334" s="1"/>
      <c r="I334" s="1" t="str">
        <f>Table1[[#This Row],[idh]]</f>
        <v>14C</v>
      </c>
      <c r="J334" s="1" t="str">
        <f>CONCATENATE("an",Table1[[#This Row],[name]],"_ID")</f>
        <v>anAnnounce3_ID</v>
      </c>
      <c r="K334" s="1" t="str">
        <f>CONCATENATE(Table1[[#This Row],[asm]]," = $",Table1[[#This Row],[idh]])</f>
        <v>anAnnounce3_ID = $14C</v>
      </c>
      <c r="L334" s="1" t="str">
        <f>CONCATENATE("animNames.append(""",Table1[[#This Row],[name]],""")")</f>
        <v>animNames.append("Announce3")</v>
      </c>
      <c r="M334" s="8" t="str">
        <f>CONCATENATE("reqSprBanks.append(0x",Table1[[#This Row],[imgbank]],")")</f>
        <v>reqSprBanks.append(0x0A)</v>
      </c>
    </row>
    <row r="335" spans="1:13" x14ac:dyDescent="0.25">
      <c r="A335" s="1">
        <v>333</v>
      </c>
      <c r="B335" s="1" t="s">
        <v>1428</v>
      </c>
      <c r="C335" s="2" t="s">
        <v>240</v>
      </c>
      <c r="D335" s="1" t="s">
        <v>1078</v>
      </c>
      <c r="E335" s="3">
        <v>4</v>
      </c>
      <c r="F335" s="1" t="s">
        <v>457</v>
      </c>
      <c r="G335" s="2" t="s">
        <v>1105</v>
      </c>
      <c r="H335" s="1"/>
      <c r="I335" s="1" t="str">
        <f>Table1[[#This Row],[idh]]</f>
        <v>14D</v>
      </c>
      <c r="J335" s="1" t="str">
        <f>CONCATENATE("an",Table1[[#This Row],[name]],"_ID")</f>
        <v>anAnnounce4_ID</v>
      </c>
      <c r="K335" s="1" t="str">
        <f>CONCATENATE(Table1[[#This Row],[asm]]," = $",Table1[[#This Row],[idh]])</f>
        <v>anAnnounce4_ID = $14D</v>
      </c>
      <c r="L335" s="1" t="str">
        <f>CONCATENATE("animNames.append(""",Table1[[#This Row],[name]],""")")</f>
        <v>animNames.append("Announce4")</v>
      </c>
      <c r="M335" s="8" t="str">
        <f>CONCATENATE("reqSprBanks.append(0x",Table1[[#This Row],[imgbank]],")")</f>
        <v>reqSprBanks.append(0x0A)</v>
      </c>
    </row>
    <row r="336" spans="1:13" x14ac:dyDescent="0.25">
      <c r="A336" s="1">
        <v>334</v>
      </c>
      <c r="B336" s="1" t="s">
        <v>1429</v>
      </c>
      <c r="C336" s="2" t="s">
        <v>241</v>
      </c>
      <c r="D336" s="1" t="s">
        <v>1079</v>
      </c>
      <c r="E336" s="3">
        <v>5</v>
      </c>
      <c r="F336" s="1" t="s">
        <v>457</v>
      </c>
      <c r="G336" s="2" t="s">
        <v>1105</v>
      </c>
      <c r="H336" s="1"/>
      <c r="I336" s="1" t="str">
        <f>Table1[[#This Row],[idh]]</f>
        <v>14E</v>
      </c>
      <c r="J336" s="1" t="str">
        <f>CONCATENATE("an",Table1[[#This Row],[name]],"_ID")</f>
        <v>anAnnounce5_ID</v>
      </c>
      <c r="K336" s="1" t="str">
        <f>CONCATENATE(Table1[[#This Row],[asm]]," = $",Table1[[#This Row],[idh]])</f>
        <v>anAnnounce5_ID = $14E</v>
      </c>
      <c r="L336" s="1" t="str">
        <f>CONCATENATE("animNames.append(""",Table1[[#This Row],[name]],""")")</f>
        <v>animNames.append("Announce5")</v>
      </c>
      <c r="M336" s="8" t="str">
        <f>CONCATENATE("reqSprBanks.append(0x",Table1[[#This Row],[imgbank]],")")</f>
        <v>reqSprBanks.append(0x0A)</v>
      </c>
    </row>
    <row r="337" spans="1:13" x14ac:dyDescent="0.25">
      <c r="A337" s="1">
        <v>335</v>
      </c>
      <c r="B337" s="1" t="s">
        <v>1430</v>
      </c>
      <c r="C337" s="2" t="s">
        <v>242</v>
      </c>
      <c r="D337" s="1" t="s">
        <v>1080</v>
      </c>
      <c r="E337" s="3">
        <v>6</v>
      </c>
      <c r="F337" s="1" t="s">
        <v>457</v>
      </c>
      <c r="G337" s="2" t="s">
        <v>1105</v>
      </c>
      <c r="H337" s="1"/>
      <c r="I337" s="1" t="str">
        <f>Table1[[#This Row],[idh]]</f>
        <v>14F</v>
      </c>
      <c r="J337" s="1" t="str">
        <f>CONCATENATE("an",Table1[[#This Row],[name]],"_ID")</f>
        <v>anAnnounce6_ID</v>
      </c>
      <c r="K337" s="1" t="str">
        <f>CONCATENATE(Table1[[#This Row],[asm]]," = $",Table1[[#This Row],[idh]])</f>
        <v>anAnnounce6_ID = $14F</v>
      </c>
      <c r="L337" s="1" t="str">
        <f>CONCATENATE("animNames.append(""",Table1[[#This Row],[name]],""")")</f>
        <v>animNames.append("Announce6")</v>
      </c>
      <c r="M337" s="8" t="str">
        <f>CONCATENATE("reqSprBanks.append(0x",Table1[[#This Row],[imgbank]],")")</f>
        <v>reqSprBanks.append(0x0A)</v>
      </c>
    </row>
    <row r="338" spans="1:13" x14ac:dyDescent="0.25">
      <c r="A338" s="1">
        <v>336</v>
      </c>
      <c r="B338" s="1" t="s">
        <v>1431</v>
      </c>
      <c r="C338" s="2" t="s">
        <v>243</v>
      </c>
      <c r="D338" s="1" t="s">
        <v>1081</v>
      </c>
      <c r="E338" s="3">
        <v>7</v>
      </c>
      <c r="F338" s="1" t="s">
        <v>457</v>
      </c>
      <c r="G338" s="2" t="s">
        <v>1105</v>
      </c>
      <c r="H338" s="1"/>
      <c r="I338" s="1" t="str">
        <f>Table1[[#This Row],[idh]]</f>
        <v>150</v>
      </c>
      <c r="J338" s="1" t="str">
        <f>CONCATENATE("an",Table1[[#This Row],[name]],"_ID")</f>
        <v>anAnnounce7_ID</v>
      </c>
      <c r="K338" s="1" t="str">
        <f>CONCATENATE(Table1[[#This Row],[asm]]," = $",Table1[[#This Row],[idh]])</f>
        <v>anAnnounce7_ID = $150</v>
      </c>
      <c r="L338" s="1" t="str">
        <f>CONCATENATE("animNames.append(""",Table1[[#This Row],[name]],""")")</f>
        <v>animNames.append("Announce7")</v>
      </c>
      <c r="M338" s="8" t="str">
        <f>CONCATENATE("reqSprBanks.append(0x",Table1[[#This Row],[imgbank]],")")</f>
        <v>reqSprBanks.append(0x0A)</v>
      </c>
    </row>
    <row r="339" spans="1:13" x14ac:dyDescent="0.25">
      <c r="A339" s="1">
        <v>337</v>
      </c>
      <c r="B339" s="1" t="s">
        <v>1432</v>
      </c>
      <c r="C339" s="2" t="s">
        <v>244</v>
      </c>
      <c r="D339" s="1" t="s">
        <v>1082</v>
      </c>
      <c r="E339" s="3">
        <v>8</v>
      </c>
      <c r="F339" s="1" t="s">
        <v>457</v>
      </c>
      <c r="G339" s="2" t="s">
        <v>1105</v>
      </c>
      <c r="H339" s="1"/>
      <c r="I339" s="1" t="str">
        <f>Table1[[#This Row],[idh]]</f>
        <v>151</v>
      </c>
      <c r="J339" s="1" t="str">
        <f>CONCATENATE("an",Table1[[#This Row],[name]],"_ID")</f>
        <v>anAnnounce8_ID</v>
      </c>
      <c r="K339" s="1" t="str">
        <f>CONCATENATE(Table1[[#This Row],[asm]]," = $",Table1[[#This Row],[idh]])</f>
        <v>anAnnounce8_ID = $151</v>
      </c>
      <c r="L339" s="1" t="str">
        <f>CONCATENATE("animNames.append(""",Table1[[#This Row],[name]],""")")</f>
        <v>animNames.append("Announce8")</v>
      </c>
      <c r="M339" s="8" t="str">
        <f>CONCATENATE("reqSprBanks.append(0x",Table1[[#This Row],[imgbank]],")")</f>
        <v>reqSprBanks.append(0x0A)</v>
      </c>
    </row>
    <row r="340" spans="1:13" x14ac:dyDescent="0.25">
      <c r="A340" s="1">
        <v>338</v>
      </c>
      <c r="B340" s="1" t="s">
        <v>1433</v>
      </c>
      <c r="C340" s="2" t="s">
        <v>245</v>
      </c>
      <c r="D340" s="1" t="s">
        <v>1083</v>
      </c>
      <c r="E340" s="3">
        <v>9</v>
      </c>
      <c r="F340" s="1" t="s">
        <v>457</v>
      </c>
      <c r="G340" s="2" t="s">
        <v>1105</v>
      </c>
      <c r="H340" s="1"/>
      <c r="I340" s="1" t="str">
        <f>Table1[[#This Row],[idh]]</f>
        <v>152</v>
      </c>
      <c r="J340" s="1" t="str">
        <f>CONCATENATE("an",Table1[[#This Row],[name]],"_ID")</f>
        <v>anAnnounce9_ID</v>
      </c>
      <c r="K340" s="1" t="str">
        <f>CONCATENATE(Table1[[#This Row],[asm]]," = $",Table1[[#This Row],[idh]])</f>
        <v>anAnnounce9_ID = $152</v>
      </c>
      <c r="L340" s="1" t="str">
        <f>CONCATENATE("animNames.append(""",Table1[[#This Row],[name]],""")")</f>
        <v>animNames.append("Announce9")</v>
      </c>
      <c r="M340" s="8" t="str">
        <f>CONCATENATE("reqSprBanks.append(0x",Table1[[#This Row],[imgbank]],")")</f>
        <v>reqSprBanks.append(0x0A)</v>
      </c>
    </row>
    <row r="341" spans="1:13" x14ac:dyDescent="0.25">
      <c r="A341" s="1">
        <v>339</v>
      </c>
      <c r="B341" s="1" t="s">
        <v>1434</v>
      </c>
      <c r="C341" s="2" t="s">
        <v>246</v>
      </c>
      <c r="D341" s="1" t="s">
        <v>1084</v>
      </c>
      <c r="E341" s="3">
        <v>30000</v>
      </c>
      <c r="F341" s="1" t="s">
        <v>457</v>
      </c>
      <c r="G341" s="2" t="s">
        <v>1105</v>
      </c>
      <c r="H341" s="1"/>
      <c r="I341" s="1" t="str">
        <f>Table1[[#This Row],[idh]]</f>
        <v>153</v>
      </c>
      <c r="J341" s="1" t="str">
        <f>CONCATENATE("an",Table1[[#This Row],[name]],"_ID")</f>
        <v>anAnnounce30000_ID</v>
      </c>
      <c r="K341" s="1" t="str">
        <f>CONCATENATE(Table1[[#This Row],[asm]]," = $",Table1[[#This Row],[idh]])</f>
        <v>anAnnounce30000_ID = $153</v>
      </c>
      <c r="L341" s="1" t="str">
        <f>CONCATENATE("animNames.append(""",Table1[[#This Row],[name]],""")")</f>
        <v>animNames.append("Announce30000")</v>
      </c>
      <c r="M341" s="8" t="str">
        <f>CONCATENATE("reqSprBanks.append(0x",Table1[[#This Row],[imgbank]],")")</f>
        <v>reqSprBanks.append(0x0A)</v>
      </c>
    </row>
    <row r="342" spans="1:13" x14ac:dyDescent="0.25">
      <c r="A342" s="1">
        <v>340</v>
      </c>
      <c r="B342" s="1" t="s">
        <v>1435</v>
      </c>
      <c r="C342" s="2" t="s">
        <v>247</v>
      </c>
      <c r="D342" s="1" t="s">
        <v>1085</v>
      </c>
      <c r="E342" s="3">
        <v>10000</v>
      </c>
      <c r="F342" s="1" t="s">
        <v>457</v>
      </c>
      <c r="G342" s="2" t="s">
        <v>1105</v>
      </c>
      <c r="H342" s="1"/>
      <c r="I342" s="1" t="str">
        <f>Table1[[#This Row],[idh]]</f>
        <v>154</v>
      </c>
      <c r="J342" s="1" t="str">
        <f>CONCATENATE("an",Table1[[#This Row],[name]],"_ID")</f>
        <v>anAnnounce10000_ID</v>
      </c>
      <c r="K342" s="1" t="str">
        <f>CONCATENATE(Table1[[#This Row],[asm]]," = $",Table1[[#This Row],[idh]])</f>
        <v>anAnnounce10000_ID = $154</v>
      </c>
      <c r="L342" s="1" t="str">
        <f>CONCATENATE("animNames.append(""",Table1[[#This Row],[name]],""")")</f>
        <v>animNames.append("Announce10000")</v>
      </c>
      <c r="M342" s="8" t="str">
        <f>CONCATENATE("reqSprBanks.append(0x",Table1[[#This Row],[imgbank]],")")</f>
        <v>reqSprBanks.append(0x0A)</v>
      </c>
    </row>
    <row r="343" spans="1:13" x14ac:dyDescent="0.25">
      <c r="A343" s="1">
        <v>341</v>
      </c>
      <c r="B343" s="1" t="s">
        <v>1436</v>
      </c>
      <c r="C343" s="2" t="s">
        <v>248</v>
      </c>
      <c r="D343" s="1" t="s">
        <v>1086</v>
      </c>
      <c r="E343" s="3" t="s">
        <v>698</v>
      </c>
      <c r="F343" s="1" t="s">
        <v>456</v>
      </c>
      <c r="G343" s="2" t="s">
        <v>1105</v>
      </c>
      <c r="H343" s="1"/>
      <c r="I343" s="1" t="str">
        <f>Table1[[#This Row],[idh]]</f>
        <v>155</v>
      </c>
      <c r="J343" s="1" t="str">
        <f>CONCATENATE("an",Table1[[#This Row],[name]],"_ID")</f>
        <v>anAnnouncePlayer_ID</v>
      </c>
      <c r="K343" s="1" t="str">
        <f>CONCATENATE(Table1[[#This Row],[asm]]," = $",Table1[[#This Row],[idh]])</f>
        <v>anAnnouncePlayer_ID = $155</v>
      </c>
      <c r="L343" s="1" t="str">
        <f>CONCATENATE("animNames.append(""",Table1[[#This Row],[name]],""")")</f>
        <v>animNames.append("AnnouncePlayer")</v>
      </c>
      <c r="M343" s="8" t="str">
        <f>CONCATENATE("reqSprBanks.append(0x",Table1[[#This Row],[imgbank]],")")</f>
        <v>reqSprBanks.append(0x0A)</v>
      </c>
    </row>
    <row r="344" spans="1:13" x14ac:dyDescent="0.25">
      <c r="A344" s="1">
        <v>342</v>
      </c>
      <c r="B344" s="1" t="s">
        <v>1437</v>
      </c>
      <c r="C344" s="2" t="s">
        <v>249</v>
      </c>
      <c r="D344" s="1" t="s">
        <v>1087</v>
      </c>
      <c r="E344" s="3">
        <v>100000</v>
      </c>
      <c r="F344" s="1" t="s">
        <v>457</v>
      </c>
      <c r="G344" s="2" t="s">
        <v>1105</v>
      </c>
      <c r="H344" s="1"/>
      <c r="I344" s="1" t="str">
        <f>Table1[[#This Row],[idh]]</f>
        <v>156</v>
      </c>
      <c r="J344" s="1" t="str">
        <f>CONCATENATE("an",Table1[[#This Row],[name]],"_ID")</f>
        <v>anAnnounce100000_ID</v>
      </c>
      <c r="K344" s="1" t="str">
        <f>CONCATENATE(Table1[[#This Row],[asm]]," = $",Table1[[#This Row],[idh]])</f>
        <v>anAnnounce100000_ID = $156</v>
      </c>
      <c r="L344" s="1" t="str">
        <f>CONCATENATE("animNames.append(""",Table1[[#This Row],[name]],""")")</f>
        <v>animNames.append("Announce100000")</v>
      </c>
      <c r="M344" s="8" t="str">
        <f>CONCATENATE("reqSprBanks.append(0x",Table1[[#This Row],[imgbank]],")")</f>
        <v>reqSprBanks.append(0x0A)</v>
      </c>
    </row>
    <row r="345" spans="1:13" x14ac:dyDescent="0.25">
      <c r="A345" s="1">
        <v>343</v>
      </c>
      <c r="B345" s="1" t="s">
        <v>1438</v>
      </c>
      <c r="C345" s="2" t="s">
        <v>247</v>
      </c>
      <c r="D345" s="1" t="s">
        <v>1088</v>
      </c>
      <c r="E345" s="3" t="s">
        <v>699</v>
      </c>
      <c r="F345" s="1" t="s">
        <v>457</v>
      </c>
      <c r="G345" s="2" t="s">
        <v>1105</v>
      </c>
      <c r="H345" s="1" t="s">
        <v>900</v>
      </c>
      <c r="I345" s="1" t="str">
        <f>Table1[[#This Row],[idh]]</f>
        <v>157</v>
      </c>
      <c r="J345" s="1" t="str">
        <f>CONCATENATE("an",Table1[[#This Row],[name]],"_ID")</f>
        <v>anAnnounce10000Alt1_ID</v>
      </c>
      <c r="K345" s="1" t="str">
        <f>CONCATENATE(Table1[[#This Row],[asm]]," = $",Table1[[#This Row],[idh]])</f>
        <v>anAnnounce10000Alt1_ID = $157</v>
      </c>
      <c r="L345" s="1" t="str">
        <f>CONCATENATE("animNames.append(""",Table1[[#This Row],[name]],""")")</f>
        <v>animNames.append("Announce10000Alt1")</v>
      </c>
      <c r="M345" s="8" t="str">
        <f>CONCATENATE("reqSprBanks.append(0x",Table1[[#This Row],[imgbank]],")")</f>
        <v>reqSprBanks.append(0x0A)</v>
      </c>
    </row>
    <row r="346" spans="1:13" x14ac:dyDescent="0.25">
      <c r="A346" s="1">
        <v>344</v>
      </c>
      <c r="B346" s="1" t="s">
        <v>1439</v>
      </c>
      <c r="C346" s="2" t="s">
        <v>247</v>
      </c>
      <c r="D346" s="1" t="s">
        <v>1089</v>
      </c>
      <c r="E346" s="3" t="s">
        <v>699</v>
      </c>
      <c r="F346" s="1" t="s">
        <v>457</v>
      </c>
      <c r="G346" s="2" t="s">
        <v>1105</v>
      </c>
      <c r="H346" s="1" t="s">
        <v>900</v>
      </c>
      <c r="I346" s="1" t="str">
        <f>Table1[[#This Row],[idh]]</f>
        <v>158</v>
      </c>
      <c r="J346" s="1" t="str">
        <f>CONCATENATE("an",Table1[[#This Row],[name]],"_ID")</f>
        <v>anAnnounce10000Alt2_ID</v>
      </c>
      <c r="K346" s="1" t="str">
        <f>CONCATENATE(Table1[[#This Row],[asm]]," = $",Table1[[#This Row],[idh]])</f>
        <v>anAnnounce10000Alt2_ID = $158</v>
      </c>
      <c r="L346" s="1" t="str">
        <f>CONCATENATE("animNames.append(""",Table1[[#This Row],[name]],""")")</f>
        <v>animNames.append("Announce10000Alt2")</v>
      </c>
      <c r="M346" s="8" t="str">
        <f>CONCATENATE("reqSprBanks.append(0x",Table1[[#This Row],[imgbank]],")")</f>
        <v>reqSprBanks.append(0x0A)</v>
      </c>
    </row>
    <row r="347" spans="1:13" x14ac:dyDescent="0.25">
      <c r="A347" s="1">
        <v>345</v>
      </c>
      <c r="B347" s="1" t="s">
        <v>1440</v>
      </c>
      <c r="C347" s="2" t="s">
        <v>247</v>
      </c>
      <c r="D347" s="1" t="s">
        <v>1090</v>
      </c>
      <c r="E347" s="3" t="s">
        <v>699</v>
      </c>
      <c r="F347" s="1" t="s">
        <v>457</v>
      </c>
      <c r="G347" s="2" t="s">
        <v>1105</v>
      </c>
      <c r="H347" s="1" t="s">
        <v>900</v>
      </c>
      <c r="I347" s="1" t="str">
        <f>Table1[[#This Row],[idh]]</f>
        <v>159</v>
      </c>
      <c r="J347" s="1" t="str">
        <f>CONCATENATE("an",Table1[[#This Row],[name]],"_ID")</f>
        <v>anAnnounce10000Alt3_ID</v>
      </c>
      <c r="K347" s="1" t="str">
        <f>CONCATENATE(Table1[[#This Row],[asm]]," = $",Table1[[#This Row],[idh]])</f>
        <v>anAnnounce10000Alt3_ID = $159</v>
      </c>
      <c r="L347" s="1" t="str">
        <f>CONCATENATE("animNames.append(""",Table1[[#This Row],[name]],""")")</f>
        <v>animNames.append("Announce10000Alt3")</v>
      </c>
      <c r="M347" s="8" t="str">
        <f>CONCATENATE("reqSprBanks.append(0x",Table1[[#This Row],[imgbank]],")")</f>
        <v>reqSprBanks.append(0x0A)</v>
      </c>
    </row>
    <row r="348" spans="1:13" x14ac:dyDescent="0.25">
      <c r="A348" s="1">
        <v>346</v>
      </c>
      <c r="B348" s="1" t="s">
        <v>1441</v>
      </c>
      <c r="C348" s="2" t="s">
        <v>247</v>
      </c>
      <c r="D348" s="1" t="s">
        <v>1091</v>
      </c>
      <c r="E348" s="3" t="s">
        <v>699</v>
      </c>
      <c r="F348" s="1" t="s">
        <v>457</v>
      </c>
      <c r="G348" s="2" t="s">
        <v>1105</v>
      </c>
      <c r="H348" s="1" t="s">
        <v>900</v>
      </c>
      <c r="I348" s="1" t="str">
        <f>Table1[[#This Row],[idh]]</f>
        <v>15A</v>
      </c>
      <c r="J348" s="1" t="str">
        <f>CONCATENATE("an",Table1[[#This Row],[name]],"_ID")</f>
        <v>anAnnounce10000Alt4_ID</v>
      </c>
      <c r="K348" s="1" t="str">
        <f>CONCATENATE(Table1[[#This Row],[asm]]," = $",Table1[[#This Row],[idh]])</f>
        <v>anAnnounce10000Alt4_ID = $15A</v>
      </c>
      <c r="L348" s="1" t="str">
        <f>CONCATENATE("animNames.append(""",Table1[[#This Row],[name]],""")")</f>
        <v>animNames.append("Announce10000Alt4")</v>
      </c>
      <c r="M348" s="8" t="str">
        <f>CONCATENATE("reqSprBanks.append(0x",Table1[[#This Row],[imgbank]],")")</f>
        <v>reqSprBanks.append(0x0A)</v>
      </c>
    </row>
    <row r="349" spans="1:13" x14ac:dyDescent="0.25">
      <c r="A349" s="1">
        <v>347</v>
      </c>
      <c r="B349" s="1" t="s">
        <v>1442</v>
      </c>
      <c r="C349" s="2" t="s">
        <v>247</v>
      </c>
      <c r="D349" s="1" t="s">
        <v>1092</v>
      </c>
      <c r="E349" s="3" t="s">
        <v>699</v>
      </c>
      <c r="F349" s="1" t="s">
        <v>457</v>
      </c>
      <c r="G349" s="2" t="s">
        <v>1105</v>
      </c>
      <c r="H349" s="1" t="s">
        <v>900</v>
      </c>
      <c r="I349" s="1" t="str">
        <f>Table1[[#This Row],[idh]]</f>
        <v>15B</v>
      </c>
      <c r="J349" s="1" t="str">
        <f>CONCATENATE("an",Table1[[#This Row],[name]],"_ID")</f>
        <v>anAnnounce10000Alt5_ID</v>
      </c>
      <c r="K349" s="1" t="str">
        <f>CONCATENATE(Table1[[#This Row],[asm]]," = $",Table1[[#This Row],[idh]])</f>
        <v>anAnnounce10000Alt5_ID = $15B</v>
      </c>
      <c r="L349" s="1" t="str">
        <f>CONCATENATE("animNames.append(""",Table1[[#This Row],[name]],""")")</f>
        <v>animNames.append("Announce10000Alt5")</v>
      </c>
      <c r="M349" s="8" t="str">
        <f>CONCATENATE("reqSprBanks.append(0x",Table1[[#This Row],[imgbank]],")")</f>
        <v>reqSprBanks.append(0x0A)</v>
      </c>
    </row>
    <row r="350" spans="1:13" x14ac:dyDescent="0.25">
      <c r="A350" s="1">
        <v>348</v>
      </c>
      <c r="B350" s="1" t="s">
        <v>1443</v>
      </c>
      <c r="C350" s="2" t="s">
        <v>247</v>
      </c>
      <c r="D350" s="1" t="s">
        <v>1093</v>
      </c>
      <c r="E350" s="3" t="s">
        <v>699</v>
      </c>
      <c r="F350" s="1" t="s">
        <v>457</v>
      </c>
      <c r="G350" s="2" t="s">
        <v>1105</v>
      </c>
      <c r="H350" s="1" t="s">
        <v>900</v>
      </c>
      <c r="I350" s="1" t="str">
        <f>Table1[[#This Row],[idh]]</f>
        <v>15C</v>
      </c>
      <c r="J350" s="1" t="str">
        <f>CONCATENATE("an",Table1[[#This Row],[name]],"_ID")</f>
        <v>anAnnounce10000Alt6_ID</v>
      </c>
      <c r="K350" s="1" t="str">
        <f>CONCATENATE(Table1[[#This Row],[asm]]," = $",Table1[[#This Row],[idh]])</f>
        <v>anAnnounce10000Alt6_ID = $15C</v>
      </c>
      <c r="L350" s="1" t="str">
        <f>CONCATENATE("animNames.append(""",Table1[[#This Row],[name]],""")")</f>
        <v>animNames.append("Announce10000Alt6")</v>
      </c>
      <c r="M350" s="8" t="str">
        <f>CONCATENATE("reqSprBanks.append(0x",Table1[[#This Row],[imgbank]],")")</f>
        <v>reqSprBanks.append(0x0A)</v>
      </c>
    </row>
    <row r="351" spans="1:13" x14ac:dyDescent="0.25">
      <c r="A351" s="1">
        <v>349</v>
      </c>
      <c r="B351" s="1" t="s">
        <v>1444</v>
      </c>
      <c r="C351" s="2" t="s">
        <v>247</v>
      </c>
      <c r="D351" s="1" t="s">
        <v>1094</v>
      </c>
      <c r="E351" s="3" t="s">
        <v>699</v>
      </c>
      <c r="F351" s="1" t="s">
        <v>457</v>
      </c>
      <c r="G351" s="2" t="s">
        <v>1105</v>
      </c>
      <c r="H351" s="1" t="s">
        <v>900</v>
      </c>
      <c r="I351" s="1" t="str">
        <f>Table1[[#This Row],[idh]]</f>
        <v>15D</v>
      </c>
      <c r="J351" s="1" t="str">
        <f>CONCATENATE("an",Table1[[#This Row],[name]],"_ID")</f>
        <v>anAnnounce10000Alt7_ID</v>
      </c>
      <c r="K351" s="1" t="str">
        <f>CONCATENATE(Table1[[#This Row],[asm]]," = $",Table1[[#This Row],[idh]])</f>
        <v>anAnnounce10000Alt7_ID = $15D</v>
      </c>
      <c r="L351" s="1" t="str">
        <f>CONCATENATE("animNames.append(""",Table1[[#This Row],[name]],""")")</f>
        <v>animNames.append("Announce10000Alt7")</v>
      </c>
      <c r="M351" s="8" t="str">
        <f>CONCATENATE("reqSprBanks.append(0x",Table1[[#This Row],[imgbank]],")")</f>
        <v>reqSprBanks.append(0x0A)</v>
      </c>
    </row>
    <row r="352" spans="1:13" x14ac:dyDescent="0.25">
      <c r="A352" s="1">
        <v>350</v>
      </c>
      <c r="B352" s="1" t="s">
        <v>1445</v>
      </c>
      <c r="C352" s="2" t="s">
        <v>366</v>
      </c>
      <c r="D352" s="4" t="s">
        <v>1574</v>
      </c>
      <c r="E352" s="3" t="s">
        <v>1008</v>
      </c>
      <c r="F352" s="1" t="s">
        <v>458</v>
      </c>
      <c r="G352" s="2" t="s">
        <v>1105</v>
      </c>
      <c r="H352" s="1"/>
      <c r="I352" s="1" t="str">
        <f>Table1[[#This Row],[idh]]</f>
        <v>15E</v>
      </c>
      <c r="J352" s="1" t="str">
        <f>CONCATENATE("an",Table1[[#This Row],[name]],"_ID")</f>
        <v>anFairy015E_ID</v>
      </c>
      <c r="K352" s="1" t="str">
        <f>CONCATENATE(Table1[[#This Row],[asm]]," = $",Table1[[#This Row],[idh]])</f>
        <v>anFairy015E_ID = $15E</v>
      </c>
      <c r="L352" s="1" t="str">
        <f>CONCATENATE("animNames.append(""",Table1[[#This Row],[name]],""")")</f>
        <v>animNames.append("Fairy015E")</v>
      </c>
      <c r="M352" s="8" t="str">
        <f>CONCATENATE("reqSprBanks.append(0x",Table1[[#This Row],[imgbank]],")")</f>
        <v>reqSprBanks.append(0x0A)</v>
      </c>
    </row>
    <row r="353" spans="1:13" x14ac:dyDescent="0.25">
      <c r="A353" s="1">
        <v>351</v>
      </c>
      <c r="B353" s="1" t="s">
        <v>1446</v>
      </c>
      <c r="C353" s="2" t="s">
        <v>367</v>
      </c>
      <c r="D353" s="4" t="s">
        <v>1575</v>
      </c>
      <c r="E353" s="3" t="s">
        <v>1009</v>
      </c>
      <c r="F353" s="1" t="s">
        <v>458</v>
      </c>
      <c r="G353" s="2" t="s">
        <v>1105</v>
      </c>
      <c r="H353" s="1"/>
      <c r="I353" s="1" t="str">
        <f>Table1[[#This Row],[idh]]</f>
        <v>15F</v>
      </c>
      <c r="J353" s="1" t="str">
        <f>CONCATENATE("an",Table1[[#This Row],[name]],"_ID")</f>
        <v>anFairy015F_ID</v>
      </c>
      <c r="K353" s="1" t="str">
        <f>CONCATENATE(Table1[[#This Row],[asm]]," = $",Table1[[#This Row],[idh]])</f>
        <v>anFairy015F_ID = $15F</v>
      </c>
      <c r="L353" s="1" t="str">
        <f>CONCATENATE("animNames.append(""",Table1[[#This Row],[name]],""")")</f>
        <v>animNames.append("Fairy015F")</v>
      </c>
      <c r="M353" s="8" t="str">
        <f>CONCATENATE("reqSprBanks.append(0x",Table1[[#This Row],[imgbank]],")")</f>
        <v>reqSprBanks.append(0x0A)</v>
      </c>
    </row>
    <row r="354" spans="1:13" x14ac:dyDescent="0.25">
      <c r="A354" s="1">
        <v>352</v>
      </c>
      <c r="B354" s="1" t="s">
        <v>1447</v>
      </c>
      <c r="C354" s="2" t="s">
        <v>250</v>
      </c>
      <c r="D354" s="4" t="s">
        <v>1576</v>
      </c>
      <c r="E354" s="3" t="s">
        <v>1010</v>
      </c>
      <c r="F354" s="1" t="s">
        <v>458</v>
      </c>
      <c r="G354" s="2" t="s">
        <v>1105</v>
      </c>
      <c r="H354" s="1"/>
      <c r="I354" s="1" t="str">
        <f>Table1[[#This Row],[idh]]</f>
        <v>160</v>
      </c>
      <c r="J354" s="1" t="str">
        <f>CONCATENATE("an",Table1[[#This Row],[name]],"_ID")</f>
        <v>anFairy0160_ID</v>
      </c>
      <c r="K354" s="1" t="str">
        <f>CONCATENATE(Table1[[#This Row],[asm]]," = $",Table1[[#This Row],[idh]])</f>
        <v>anFairy0160_ID = $160</v>
      </c>
      <c r="L354" s="1" t="str">
        <f>CONCATENATE("animNames.append(""",Table1[[#This Row],[name]],""")")</f>
        <v>animNames.append("Fairy0160")</v>
      </c>
      <c r="M354" s="8" t="str">
        <f>CONCATENATE("reqSprBanks.append(0x",Table1[[#This Row],[imgbank]],")")</f>
        <v>reqSprBanks.append(0x0A)</v>
      </c>
    </row>
    <row r="355" spans="1:13" x14ac:dyDescent="0.25">
      <c r="A355" s="1">
        <v>353</v>
      </c>
      <c r="B355" s="1" t="s">
        <v>1448</v>
      </c>
      <c r="C355" s="2" t="s">
        <v>368</v>
      </c>
      <c r="D355" s="4" t="s">
        <v>1577</v>
      </c>
      <c r="E355" s="3" t="s">
        <v>1011</v>
      </c>
      <c r="F355" s="1" t="s">
        <v>458</v>
      </c>
      <c r="G355" s="2" t="s">
        <v>1105</v>
      </c>
      <c r="H355" s="1"/>
      <c r="I355" s="1" t="str">
        <f>Table1[[#This Row],[idh]]</f>
        <v>161</v>
      </c>
      <c r="J355" s="1" t="str">
        <f>CONCATENATE("an",Table1[[#This Row],[name]],"_ID")</f>
        <v>anFairy0161_ID</v>
      </c>
      <c r="K355" s="1" t="str">
        <f>CONCATENATE(Table1[[#This Row],[asm]]," = $",Table1[[#This Row],[idh]])</f>
        <v>anFairy0161_ID = $161</v>
      </c>
      <c r="L355" s="1" t="str">
        <f>CONCATENATE("animNames.append(""",Table1[[#This Row],[name]],""")")</f>
        <v>animNames.append("Fairy0161")</v>
      </c>
      <c r="M355" s="8" t="str">
        <f>CONCATENATE("reqSprBanks.append(0x",Table1[[#This Row],[imgbank]],")")</f>
        <v>reqSprBanks.append(0x0A)</v>
      </c>
    </row>
    <row r="356" spans="1:13" x14ac:dyDescent="0.25">
      <c r="A356" s="1">
        <v>354</v>
      </c>
      <c r="B356" s="1" t="s">
        <v>1449</v>
      </c>
      <c r="C356" s="2" t="s">
        <v>369</v>
      </c>
      <c r="D356" s="4" t="s">
        <v>1578</v>
      </c>
      <c r="E356" s="3" t="s">
        <v>1011</v>
      </c>
      <c r="F356" s="1" t="s">
        <v>458</v>
      </c>
      <c r="G356" s="2" t="s">
        <v>1105</v>
      </c>
      <c r="H356" s="1"/>
      <c r="I356" s="1" t="str">
        <f>Table1[[#This Row],[idh]]</f>
        <v>162</v>
      </c>
      <c r="J356" s="1" t="str">
        <f>CONCATENATE("an",Table1[[#This Row],[name]],"_ID")</f>
        <v>anFairy0162_ID</v>
      </c>
      <c r="K356" s="1" t="str">
        <f>CONCATENATE(Table1[[#This Row],[asm]]," = $",Table1[[#This Row],[idh]])</f>
        <v>anFairy0162_ID = $162</v>
      </c>
      <c r="L356" s="1" t="str">
        <f>CONCATENATE("animNames.append(""",Table1[[#This Row],[name]],""")")</f>
        <v>animNames.append("Fairy0162")</v>
      </c>
      <c r="M356" s="8" t="str">
        <f>CONCATENATE("reqSprBanks.append(0x",Table1[[#This Row],[imgbank]],")")</f>
        <v>reqSprBanks.append(0x0A)</v>
      </c>
    </row>
    <row r="357" spans="1:13" x14ac:dyDescent="0.25">
      <c r="A357" s="1">
        <v>355</v>
      </c>
      <c r="B357" s="1" t="s">
        <v>1450</v>
      </c>
      <c r="C357" s="2" t="s">
        <v>370</v>
      </c>
      <c r="D357" s="4" t="s">
        <v>1579</v>
      </c>
      <c r="E357" s="3" t="s">
        <v>1012</v>
      </c>
      <c r="F357" s="1" t="s">
        <v>458</v>
      </c>
      <c r="G357" s="2" t="s">
        <v>1105</v>
      </c>
      <c r="H357" s="1"/>
      <c r="I357" s="1" t="str">
        <f>Table1[[#This Row],[idh]]</f>
        <v>163</v>
      </c>
      <c r="J357" s="1" t="str">
        <f>CONCATENATE("an",Table1[[#This Row],[name]],"_ID")</f>
        <v>anFairy0163_ID</v>
      </c>
      <c r="K357" s="1" t="str">
        <f>CONCATENATE(Table1[[#This Row],[asm]]," = $",Table1[[#This Row],[idh]])</f>
        <v>anFairy0163_ID = $163</v>
      </c>
      <c r="L357" s="1" t="str">
        <f>CONCATENATE("animNames.append(""",Table1[[#This Row],[name]],""")")</f>
        <v>animNames.append("Fairy0163")</v>
      </c>
      <c r="M357" s="8" t="str">
        <f>CONCATENATE("reqSprBanks.append(0x",Table1[[#This Row],[imgbank]],")")</f>
        <v>reqSprBanks.append(0x0A)</v>
      </c>
    </row>
    <row r="358" spans="1:13" x14ac:dyDescent="0.25">
      <c r="A358" s="1">
        <v>356</v>
      </c>
      <c r="B358" s="1" t="s">
        <v>1451</v>
      </c>
      <c r="C358" s="2" t="s">
        <v>371</v>
      </c>
      <c r="D358" s="4" t="s">
        <v>1580</v>
      </c>
      <c r="E358" s="3" t="s">
        <v>1013</v>
      </c>
      <c r="F358" s="1" t="s">
        <v>459</v>
      </c>
      <c r="G358" s="2" t="s">
        <v>1105</v>
      </c>
      <c r="H358" s="1"/>
      <c r="I358" s="1" t="str">
        <f>Table1[[#This Row],[idh]]</f>
        <v>164</v>
      </c>
      <c r="J358" s="1" t="str">
        <f>CONCATENATE("an",Table1[[#This Row],[name]],"_ID")</f>
        <v>anCubby0164_ID</v>
      </c>
      <c r="K358" s="1" t="str">
        <f>CONCATENATE(Table1[[#This Row],[asm]]," = $",Table1[[#This Row],[idh]])</f>
        <v>anCubby0164_ID = $164</v>
      </c>
      <c r="L358" s="1" t="str">
        <f>CONCATENATE("animNames.append(""",Table1[[#This Row],[name]],""")")</f>
        <v>animNames.append("Cubby0164")</v>
      </c>
      <c r="M358" s="8" t="str">
        <f>CONCATENATE("reqSprBanks.append(0x",Table1[[#This Row],[imgbank]],")")</f>
        <v>reqSprBanks.append(0x0A)</v>
      </c>
    </row>
    <row r="359" spans="1:13" x14ac:dyDescent="0.25">
      <c r="A359" s="1">
        <v>357</v>
      </c>
      <c r="B359" s="1" t="s">
        <v>1452</v>
      </c>
      <c r="C359" s="2" t="s">
        <v>251</v>
      </c>
      <c r="D359" s="4" t="s">
        <v>1581</v>
      </c>
      <c r="E359" s="3" t="s">
        <v>1014</v>
      </c>
      <c r="F359" s="1" t="s">
        <v>459</v>
      </c>
      <c r="G359" s="2" t="s">
        <v>1105</v>
      </c>
      <c r="H359" s="1"/>
      <c r="I359" s="1" t="str">
        <f>Table1[[#This Row],[idh]]</f>
        <v>165</v>
      </c>
      <c r="J359" s="1" t="str">
        <f>CONCATENATE("an",Table1[[#This Row],[name]],"_ID")</f>
        <v>anJudy0165_ID</v>
      </c>
      <c r="K359" s="1" t="str">
        <f>CONCATENATE(Table1[[#This Row],[asm]]," = $",Table1[[#This Row],[idh]])</f>
        <v>anJudy0165_ID = $165</v>
      </c>
      <c r="L359" s="1" t="str">
        <f>CONCATENATE("animNames.append(""",Table1[[#This Row],[name]],""")")</f>
        <v>animNames.append("Judy0165")</v>
      </c>
      <c r="M359" s="8" t="str">
        <f>CONCATENATE("reqSprBanks.append(0x",Table1[[#This Row],[imgbank]],")")</f>
        <v>reqSprBanks.append(0x0A)</v>
      </c>
    </row>
    <row r="360" spans="1:13" x14ac:dyDescent="0.25">
      <c r="A360" s="1">
        <v>358</v>
      </c>
      <c r="B360" s="1" t="s">
        <v>1453</v>
      </c>
      <c r="C360" s="2" t="s">
        <v>372</v>
      </c>
      <c r="D360" s="4" t="s">
        <v>1582</v>
      </c>
      <c r="E360" s="3" t="s">
        <v>1015</v>
      </c>
      <c r="F360" s="1" t="s">
        <v>459</v>
      </c>
      <c r="G360" s="2" t="s">
        <v>1105</v>
      </c>
      <c r="H360" s="1"/>
      <c r="I360" s="1" t="str">
        <f>Table1[[#This Row],[idh]]</f>
        <v>166</v>
      </c>
      <c r="J360" s="1" t="str">
        <f>CONCATENATE("an",Table1[[#This Row],[name]],"_ID")</f>
        <v>anHeart0166_ID</v>
      </c>
      <c r="K360" s="1" t="str">
        <f>CONCATENATE(Table1[[#This Row],[asm]]," = $",Table1[[#This Row],[idh]])</f>
        <v>anHeart0166_ID = $166</v>
      </c>
      <c r="L360" s="1" t="str">
        <f>CONCATENATE("animNames.append(""",Table1[[#This Row],[name]],""")")</f>
        <v>animNames.append("Heart0166")</v>
      </c>
      <c r="M360" s="8" t="str">
        <f>CONCATENATE("reqSprBanks.append(0x",Table1[[#This Row],[imgbank]],")")</f>
        <v>reqSprBanks.append(0x0A)</v>
      </c>
    </row>
    <row r="361" spans="1:13" x14ac:dyDescent="0.25">
      <c r="A361" s="1">
        <v>359</v>
      </c>
      <c r="B361" s="1" t="s">
        <v>1454</v>
      </c>
      <c r="C361" s="2" t="s">
        <v>373</v>
      </c>
      <c r="D361" s="1" t="s">
        <v>1016</v>
      </c>
      <c r="E361" s="3" t="s">
        <v>700</v>
      </c>
      <c r="F361" s="1" t="s">
        <v>447</v>
      </c>
      <c r="G361" s="2" t="s">
        <v>1105</v>
      </c>
      <c r="H361" s="1"/>
      <c r="I361" s="1" t="str">
        <f>Table1[[#This Row],[idh]]</f>
        <v>167</v>
      </c>
      <c r="J361" s="1" t="str">
        <f>CONCATENATE("an",Table1[[#This Row],[name]],"_ID")</f>
        <v>anFinalSkelMonstaL_ID</v>
      </c>
      <c r="K361" s="1" t="str">
        <f>CONCATENATE(Table1[[#This Row],[asm]]," = $",Table1[[#This Row],[idh]])</f>
        <v>anFinalSkelMonstaL_ID = $167</v>
      </c>
      <c r="L361" s="1" t="str">
        <f>CONCATENATE("animNames.append(""",Table1[[#This Row],[name]],""")")</f>
        <v>animNames.append("FinalSkelMonstaL")</v>
      </c>
      <c r="M361" s="8" t="str">
        <f>CONCATENATE("reqSprBanks.append(0x",Table1[[#This Row],[imgbank]],")")</f>
        <v>reqSprBanks.append(0x0A)</v>
      </c>
    </row>
    <row r="362" spans="1:13" x14ac:dyDescent="0.25">
      <c r="A362" s="1">
        <v>360</v>
      </c>
      <c r="B362" s="1" t="s">
        <v>1455</v>
      </c>
      <c r="C362" s="2" t="s">
        <v>252</v>
      </c>
      <c r="D362" s="1" t="s">
        <v>1017</v>
      </c>
      <c r="E362" s="3" t="s">
        <v>701</v>
      </c>
      <c r="F362" s="1" t="s">
        <v>447</v>
      </c>
      <c r="G362" s="2" t="s">
        <v>1105</v>
      </c>
      <c r="H362" s="1"/>
      <c r="I362" s="1" t="str">
        <f>Table1[[#This Row],[idh]]</f>
        <v>168</v>
      </c>
      <c r="J362" s="1" t="str">
        <f>CONCATENATE("an",Table1[[#This Row],[name]],"_ID")</f>
        <v>anFinalSkelMonstaR_ID</v>
      </c>
      <c r="K362" s="1" t="str">
        <f>CONCATENATE(Table1[[#This Row],[asm]]," = $",Table1[[#This Row],[idh]])</f>
        <v>anFinalSkelMonstaR_ID = $168</v>
      </c>
      <c r="L362" s="1" t="str">
        <f>CONCATENATE("animNames.append(""",Table1[[#This Row],[name]],""")")</f>
        <v>animNames.append("FinalSkelMonstaR")</v>
      </c>
      <c r="M362" s="8" t="str">
        <f>CONCATENATE("reqSprBanks.append(0x",Table1[[#This Row],[imgbank]],")")</f>
        <v>reqSprBanks.append(0x0A)</v>
      </c>
    </row>
    <row r="363" spans="1:13" x14ac:dyDescent="0.25">
      <c r="A363" s="1">
        <v>361</v>
      </c>
      <c r="B363" s="1" t="s">
        <v>1456</v>
      </c>
      <c r="C363" s="2" t="s">
        <v>374</v>
      </c>
      <c r="D363" s="1" t="s">
        <v>1018</v>
      </c>
      <c r="E363" s="3" t="s">
        <v>702</v>
      </c>
      <c r="F363" s="1" t="s">
        <v>447</v>
      </c>
      <c r="G363" s="2" t="s">
        <v>1105</v>
      </c>
      <c r="H363" s="1"/>
      <c r="I363" s="1" t="str">
        <f>Table1[[#This Row],[idh]]</f>
        <v>169</v>
      </c>
      <c r="J363" s="1" t="str">
        <f>CONCATENATE("an",Table1[[#This Row],[name]],"_ID")</f>
        <v>anFinalSkelMonstaSpawn_ID</v>
      </c>
      <c r="K363" s="1" t="str">
        <f>CONCATENATE(Table1[[#This Row],[asm]]," = $",Table1[[#This Row],[idh]])</f>
        <v>anFinalSkelMonstaSpawn_ID = $169</v>
      </c>
      <c r="L363" s="1" t="str">
        <f>CONCATENATE("animNames.append(""",Table1[[#This Row],[name]],""")")</f>
        <v>animNames.append("FinalSkelMonstaSpawn")</v>
      </c>
      <c r="M363" s="8" t="str">
        <f>CONCATENATE("reqSprBanks.append(0x",Table1[[#This Row],[imgbank]],")")</f>
        <v>reqSprBanks.append(0x0A)</v>
      </c>
    </row>
    <row r="364" spans="1:13" x14ac:dyDescent="0.25">
      <c r="A364" s="1">
        <v>362</v>
      </c>
      <c r="B364" s="1" t="s">
        <v>1457</v>
      </c>
      <c r="C364" s="2" t="s">
        <v>253</v>
      </c>
      <c r="D364" s="1" t="s">
        <v>1019</v>
      </c>
      <c r="E364" s="3" t="s">
        <v>703</v>
      </c>
      <c r="F364" s="1" t="s">
        <v>447</v>
      </c>
      <c r="G364" s="2" t="s">
        <v>1105</v>
      </c>
      <c r="H364" s="1"/>
      <c r="I364" s="1" t="str">
        <f>Table1[[#This Row],[idh]]</f>
        <v>16A</v>
      </c>
      <c r="J364" s="1" t="str">
        <f>CONCATENATE("an",Table1[[#This Row],[name]],"_ID")</f>
        <v>anFinalSkelMonstaLeave_ID</v>
      </c>
      <c r="K364" s="1" t="str">
        <f>CONCATENATE(Table1[[#This Row],[asm]]," = $",Table1[[#This Row],[idh]])</f>
        <v>anFinalSkelMonstaLeave_ID = $16A</v>
      </c>
      <c r="L364" s="1" t="str">
        <f>CONCATENATE("animNames.append(""",Table1[[#This Row],[name]],""")")</f>
        <v>animNames.append("FinalSkelMonstaLeave")</v>
      </c>
      <c r="M364" s="8" t="str">
        <f>CONCATENATE("reqSprBanks.append(0x",Table1[[#This Row],[imgbank]],")")</f>
        <v>reqSprBanks.append(0x0A)</v>
      </c>
    </row>
    <row r="365" spans="1:13" x14ac:dyDescent="0.25">
      <c r="A365" s="1">
        <v>363</v>
      </c>
      <c r="B365" s="1" t="s">
        <v>1458</v>
      </c>
      <c r="C365" s="2" t="s">
        <v>254</v>
      </c>
      <c r="D365" s="1" t="s">
        <v>1020</v>
      </c>
      <c r="E365" s="3" t="s">
        <v>704</v>
      </c>
      <c r="F365" s="1" t="s">
        <v>420</v>
      </c>
      <c r="G365" s="2" t="s">
        <v>1099</v>
      </c>
      <c r="H365" s="1"/>
      <c r="I365" s="1" t="str">
        <f>Table1[[#This Row],[idh]]</f>
        <v>16B</v>
      </c>
      <c r="J365" s="1" t="str">
        <f>CONCATENATE("an",Table1[[#This Row],[name]],"_ID")</f>
        <v>anSnaggerDie_ID</v>
      </c>
      <c r="K365" s="1" t="str">
        <f>CONCATENATE(Table1[[#This Row],[asm]]," = $",Table1[[#This Row],[idh]])</f>
        <v>anSnaggerDie_ID = $16B</v>
      </c>
      <c r="L365" s="1" t="str">
        <f>CONCATENATE("animNames.append(""",Table1[[#This Row],[name]],""")")</f>
        <v>animNames.append("SnaggerDie")</v>
      </c>
      <c r="M365" s="8" t="str">
        <f>CONCATENATE("reqSprBanks.append(0x",Table1[[#This Row],[imgbank]],")")</f>
        <v>reqSprBanks.append(0x04)</v>
      </c>
    </row>
    <row r="366" spans="1:13" x14ac:dyDescent="0.25">
      <c r="A366" s="1">
        <v>364</v>
      </c>
      <c r="B366" s="1" t="s">
        <v>1459</v>
      </c>
      <c r="C366" s="2" t="s">
        <v>255</v>
      </c>
      <c r="D366" s="1" t="s">
        <v>1021</v>
      </c>
      <c r="E366" s="3" t="s">
        <v>705</v>
      </c>
      <c r="F366" s="1" t="s">
        <v>460</v>
      </c>
      <c r="G366" s="2" t="s">
        <v>1105</v>
      </c>
      <c r="H366" s="1"/>
      <c r="I366" s="1" t="str">
        <f>Table1[[#This Row],[idh]]</f>
        <v>16C</v>
      </c>
      <c r="J366" s="1" t="str">
        <f>CONCATENATE("an",Table1[[#This Row],[name]],"_ID")</f>
        <v>anBonusBall_ID</v>
      </c>
      <c r="K366" s="1" t="str">
        <f>CONCATENATE(Table1[[#This Row],[asm]]," = $",Table1[[#This Row],[idh]])</f>
        <v>anBonusBall_ID = $16C</v>
      </c>
      <c r="L366" s="1" t="str">
        <f>CONCATENATE("animNames.append(""",Table1[[#This Row],[name]],""")")</f>
        <v>animNames.append("BonusBall")</v>
      </c>
      <c r="M366" s="8" t="str">
        <f>CONCATENATE("reqSprBanks.append(0x",Table1[[#This Row],[imgbank]],")")</f>
        <v>reqSprBanks.append(0x0A)</v>
      </c>
    </row>
    <row r="367" spans="1:13" x14ac:dyDescent="0.25">
      <c r="A367" s="1">
        <v>365</v>
      </c>
      <c r="B367" s="1" t="s">
        <v>1460</v>
      </c>
      <c r="C367" s="2" t="s">
        <v>256</v>
      </c>
      <c r="D367" s="1" t="s">
        <v>1022</v>
      </c>
      <c r="E367" s="3" t="s">
        <v>706</v>
      </c>
      <c r="F367" s="1" t="s">
        <v>460</v>
      </c>
      <c r="G367" s="2" t="s">
        <v>1105</v>
      </c>
      <c r="H367" s="1"/>
      <c r="I367" s="1" t="str">
        <f>Table1[[#This Row],[idh]]</f>
        <v>16D</v>
      </c>
      <c r="J367" s="1" t="str">
        <f>CONCATENATE("an",Table1[[#This Row],[name]],"_ID")</f>
        <v>anBonusHead_ID</v>
      </c>
      <c r="K367" s="1" t="str">
        <f>CONCATENATE(Table1[[#This Row],[asm]]," = $",Table1[[#This Row],[idh]])</f>
        <v>anBonusHead_ID = $16D</v>
      </c>
      <c r="L367" s="1" t="str">
        <f>CONCATENATE("animNames.append(""",Table1[[#This Row],[name]],""")")</f>
        <v>animNames.append("BonusHead")</v>
      </c>
      <c r="M367" s="8" t="str">
        <f>CONCATENATE("reqSprBanks.append(0x",Table1[[#This Row],[imgbank]],")")</f>
        <v>reqSprBanks.append(0x0A)</v>
      </c>
    </row>
    <row r="368" spans="1:13" x14ac:dyDescent="0.25">
      <c r="A368" s="1">
        <v>366</v>
      </c>
      <c r="B368" s="1" t="s">
        <v>1461</v>
      </c>
      <c r="C368" s="2" t="s">
        <v>257</v>
      </c>
      <c r="D368" s="1" t="s">
        <v>1023</v>
      </c>
      <c r="E368" s="3" t="s">
        <v>707</v>
      </c>
      <c r="F368" s="1" t="s">
        <v>460</v>
      </c>
      <c r="G368" s="2" t="s">
        <v>1105</v>
      </c>
      <c r="H368" s="1"/>
      <c r="I368" s="1" t="str">
        <f>Table1[[#This Row],[idh]]</f>
        <v>16E</v>
      </c>
      <c r="J368" s="1" t="str">
        <f>CONCATENATE("an",Table1[[#This Row],[name]],"_ID")</f>
        <v>anBonusHand_ID</v>
      </c>
      <c r="K368" s="1" t="str">
        <f>CONCATENATE(Table1[[#This Row],[asm]]," = $",Table1[[#This Row],[idh]])</f>
        <v>anBonusHand_ID = $16E</v>
      </c>
      <c r="L368" s="1" t="str">
        <f>CONCATENATE("animNames.append(""",Table1[[#This Row],[name]],""")")</f>
        <v>animNames.append("BonusHand")</v>
      </c>
      <c r="M368" s="8" t="str">
        <f>CONCATENATE("reqSprBanks.append(0x",Table1[[#This Row],[imgbank]],")")</f>
        <v>reqSprBanks.append(0x0A)</v>
      </c>
    </row>
    <row r="369" spans="1:13" x14ac:dyDescent="0.25">
      <c r="A369" s="1">
        <v>367</v>
      </c>
      <c r="B369" s="1" t="s">
        <v>1462</v>
      </c>
      <c r="C369" s="2" t="s">
        <v>375</v>
      </c>
      <c r="D369" s="1" t="s">
        <v>1024</v>
      </c>
      <c r="E369" s="3" t="s">
        <v>708</v>
      </c>
      <c r="F369" s="1" t="s">
        <v>461</v>
      </c>
      <c r="G369" s="2" t="s">
        <v>1105</v>
      </c>
      <c r="H369" s="1"/>
      <c r="I369" s="1" t="str">
        <f>Table1[[#This Row],[idh]]</f>
        <v>16F</v>
      </c>
      <c r="J369" s="1" t="str">
        <f>CONCATENATE("an",Table1[[#This Row],[name]],"_ID")</f>
        <v>anIntroCubbySit_ID</v>
      </c>
      <c r="K369" s="1" t="str">
        <f>CONCATENATE(Table1[[#This Row],[asm]]," = $",Table1[[#This Row],[idh]])</f>
        <v>anIntroCubbySit_ID = $16F</v>
      </c>
      <c r="L369" s="1" t="str">
        <f>CONCATENATE("animNames.append(""",Table1[[#This Row],[name]],""")")</f>
        <v>animNames.append("IntroCubbySit")</v>
      </c>
      <c r="M369" s="8" t="str">
        <f>CONCATENATE("reqSprBanks.append(0x",Table1[[#This Row],[imgbank]],")")</f>
        <v>reqSprBanks.append(0x0A)</v>
      </c>
    </row>
    <row r="370" spans="1:13" x14ac:dyDescent="0.25">
      <c r="A370" s="1">
        <v>368</v>
      </c>
      <c r="B370" s="1" t="s">
        <v>1463</v>
      </c>
      <c r="C370" s="2" t="s">
        <v>258</v>
      </c>
      <c r="D370" s="1" t="s">
        <v>1025</v>
      </c>
      <c r="E370" s="3" t="s">
        <v>709</v>
      </c>
      <c r="F370" s="1" t="s">
        <v>461</v>
      </c>
      <c r="G370" s="2" t="s">
        <v>1105</v>
      </c>
      <c r="H370" s="1"/>
      <c r="I370" s="1" t="str">
        <f>Table1[[#This Row],[idh]]</f>
        <v>170</v>
      </c>
      <c r="J370" s="1" t="str">
        <f>CONCATENATE("an",Table1[[#This Row],[name]],"_ID")</f>
        <v>anIntroJudySit_ID</v>
      </c>
      <c r="K370" s="1" t="str">
        <f>CONCATENATE(Table1[[#This Row],[asm]]," = $",Table1[[#This Row],[idh]])</f>
        <v>anIntroJudySit_ID = $170</v>
      </c>
      <c r="L370" s="1" t="str">
        <f>CONCATENATE("animNames.append(""",Table1[[#This Row],[name]],""")")</f>
        <v>animNames.append("IntroJudySit")</v>
      </c>
      <c r="M370" s="8" t="str">
        <f>CONCATENATE("reqSprBanks.append(0x",Table1[[#This Row],[imgbank]],")")</f>
        <v>reqSprBanks.append(0x0A)</v>
      </c>
    </row>
    <row r="371" spans="1:13" x14ac:dyDescent="0.25">
      <c r="A371" s="1">
        <v>369</v>
      </c>
      <c r="B371" s="1" t="s">
        <v>1464</v>
      </c>
      <c r="C371" s="2" t="s">
        <v>259</v>
      </c>
      <c r="D371" s="1" t="s">
        <v>1026</v>
      </c>
      <c r="E371" s="3" t="s">
        <v>710</v>
      </c>
      <c r="F371" s="1" t="s">
        <v>461</v>
      </c>
      <c r="G371" s="2" t="s">
        <v>1105</v>
      </c>
      <c r="H371" s="1"/>
      <c r="I371" s="1" t="str">
        <f>Table1[[#This Row],[idh]]</f>
        <v>171</v>
      </c>
      <c r="J371" s="1" t="str">
        <f>CONCATENATE("an",Table1[[#This Row],[name]],"_ID")</f>
        <v>anIntroHeart_ID</v>
      </c>
      <c r="K371" s="1" t="str">
        <f>CONCATENATE(Table1[[#This Row],[asm]]," = $",Table1[[#This Row],[idh]])</f>
        <v>anIntroHeart_ID = $171</v>
      </c>
      <c r="L371" s="1" t="str">
        <f>CONCATENATE("animNames.append(""",Table1[[#This Row],[name]],""")")</f>
        <v>animNames.append("IntroHeart")</v>
      </c>
      <c r="M371" s="8" t="str">
        <f>CONCATENATE("reqSprBanks.append(0x",Table1[[#This Row],[imgbank]],")")</f>
        <v>reqSprBanks.append(0x0A)</v>
      </c>
    </row>
    <row r="372" spans="1:13" x14ac:dyDescent="0.25">
      <c r="A372" s="1">
        <v>370</v>
      </c>
      <c r="B372" s="1" t="s">
        <v>1465</v>
      </c>
      <c r="C372" s="2" t="s">
        <v>260</v>
      </c>
      <c r="D372" s="1" t="s">
        <v>1027</v>
      </c>
      <c r="E372" s="3" t="s">
        <v>711</v>
      </c>
      <c r="F372" s="1" t="s">
        <v>458</v>
      </c>
      <c r="G372" s="2" t="s">
        <v>1105</v>
      </c>
      <c r="H372" s="1"/>
      <c r="I372" s="1" t="str">
        <f>Table1[[#This Row],[idh]]</f>
        <v>172</v>
      </c>
      <c r="J372" s="1" t="str">
        <f>CONCATENATE("an",Table1[[#This Row],[name]],"_ID")</f>
        <v>anFairyFlyL_ID</v>
      </c>
      <c r="K372" s="1" t="str">
        <f>CONCATENATE(Table1[[#This Row],[asm]]," = $",Table1[[#This Row],[idh]])</f>
        <v>anFairyFlyL_ID = $172</v>
      </c>
      <c r="L372" s="1" t="str">
        <f>CONCATENATE("animNames.append(""",Table1[[#This Row],[name]],""")")</f>
        <v>animNames.append("FairyFlyL")</v>
      </c>
      <c r="M372" s="8" t="str">
        <f>CONCATENATE("reqSprBanks.append(0x",Table1[[#This Row],[imgbank]],")")</f>
        <v>reqSprBanks.append(0x0A)</v>
      </c>
    </row>
    <row r="373" spans="1:13" x14ac:dyDescent="0.25">
      <c r="A373" s="1">
        <v>371</v>
      </c>
      <c r="B373" s="1" t="s">
        <v>1466</v>
      </c>
      <c r="C373" s="2" t="s">
        <v>376</v>
      </c>
      <c r="D373" s="1" t="s">
        <v>1028</v>
      </c>
      <c r="E373" s="3" t="s">
        <v>712</v>
      </c>
      <c r="F373" s="1" t="s">
        <v>458</v>
      </c>
      <c r="G373" s="2" t="s">
        <v>1105</v>
      </c>
      <c r="H373" s="1"/>
      <c r="I373" s="1" t="str">
        <f>Table1[[#This Row],[idh]]</f>
        <v>173</v>
      </c>
      <c r="J373" s="1" t="str">
        <f>CONCATENATE("an",Table1[[#This Row],[name]],"_ID")</f>
        <v>anFairyFlyR_ID</v>
      </c>
      <c r="K373" s="1" t="str">
        <f>CONCATENATE(Table1[[#This Row],[asm]]," = $",Table1[[#This Row],[idh]])</f>
        <v>anFairyFlyR_ID = $173</v>
      </c>
      <c r="L373" s="1" t="str">
        <f>CONCATENATE("animNames.append(""",Table1[[#This Row],[name]],""")")</f>
        <v>animNames.append("FairyFlyR")</v>
      </c>
      <c r="M373" s="8" t="str">
        <f>CONCATENATE("reqSprBanks.append(0x",Table1[[#This Row],[imgbank]],")")</f>
        <v>reqSprBanks.append(0x0A)</v>
      </c>
    </row>
    <row r="374" spans="1:13" x14ac:dyDescent="0.25">
      <c r="A374" s="1">
        <v>372</v>
      </c>
      <c r="B374" s="1" t="s">
        <v>1467</v>
      </c>
      <c r="C374" s="2" t="s">
        <v>257</v>
      </c>
      <c r="D374" s="1" t="s">
        <v>1029</v>
      </c>
      <c r="E374" s="3" t="s">
        <v>713</v>
      </c>
      <c r="F374" s="1" t="s">
        <v>460</v>
      </c>
      <c r="G374" s="2" t="s">
        <v>1105</v>
      </c>
      <c r="H374" s="1" t="s">
        <v>900</v>
      </c>
      <c r="I374" s="1" t="str">
        <f>Table1[[#This Row],[idh]]</f>
        <v>174</v>
      </c>
      <c r="J374" s="1" t="str">
        <f>CONCATENATE("an",Table1[[#This Row],[name]],"_ID")</f>
        <v>anBonusHandUpRight_ID</v>
      </c>
      <c r="K374" s="1" t="str">
        <f>CONCATENATE(Table1[[#This Row],[asm]]," = $",Table1[[#This Row],[idh]])</f>
        <v>anBonusHandUpRight_ID = $174</v>
      </c>
      <c r="L374" s="1" t="str">
        <f>CONCATENATE("animNames.append(""",Table1[[#This Row],[name]],""")")</f>
        <v>animNames.append("BonusHandUpRight")</v>
      </c>
      <c r="M374" s="8" t="str">
        <f>CONCATENATE("reqSprBanks.append(0x",Table1[[#This Row],[imgbank]],")")</f>
        <v>reqSprBanks.append(0x0A)</v>
      </c>
    </row>
    <row r="375" spans="1:13" x14ac:dyDescent="0.25">
      <c r="A375" s="1">
        <v>373</v>
      </c>
      <c r="B375" s="1" t="s">
        <v>1468</v>
      </c>
      <c r="C375" s="2" t="s">
        <v>377</v>
      </c>
      <c r="D375" s="1" t="s">
        <v>1030</v>
      </c>
      <c r="E375" s="3" t="s">
        <v>714</v>
      </c>
      <c r="F375" s="1" t="s">
        <v>460</v>
      </c>
      <c r="G375" s="2" t="s">
        <v>1105</v>
      </c>
      <c r="H375" s="1"/>
      <c r="I375" s="1" t="str">
        <f>Table1[[#This Row],[idh]]</f>
        <v>175</v>
      </c>
      <c r="J375" s="1" t="str">
        <f>CONCATENATE("an",Table1[[#This Row],[name]],"_ID")</f>
        <v>anBonusHandUpLeft_ID</v>
      </c>
      <c r="K375" s="1" t="str">
        <f>CONCATENATE(Table1[[#This Row],[asm]]," = $",Table1[[#This Row],[idh]])</f>
        <v>anBonusHandUpLeft_ID = $175</v>
      </c>
      <c r="L375" s="1" t="str">
        <f>CONCATENATE("animNames.append(""",Table1[[#This Row],[name]],""")")</f>
        <v>animNames.append("BonusHandUpLeft")</v>
      </c>
      <c r="M375" s="8" t="str">
        <f>CONCATENATE("reqSprBanks.append(0x",Table1[[#This Row],[imgbank]],")")</f>
        <v>reqSprBanks.append(0x0A)</v>
      </c>
    </row>
    <row r="376" spans="1:13" x14ac:dyDescent="0.25">
      <c r="A376" s="1">
        <v>374</v>
      </c>
      <c r="B376" s="1" t="s">
        <v>1469</v>
      </c>
      <c r="C376" s="2" t="s">
        <v>378</v>
      </c>
      <c r="D376" s="1" t="s">
        <v>1031</v>
      </c>
      <c r="E376" s="3" t="s">
        <v>715</v>
      </c>
      <c r="F376" s="1" t="s">
        <v>460</v>
      </c>
      <c r="G376" s="2" t="s">
        <v>1105</v>
      </c>
      <c r="H376" s="1"/>
      <c r="I376" s="1" t="str">
        <f>Table1[[#This Row],[idh]]</f>
        <v>176</v>
      </c>
      <c r="J376" s="1" t="str">
        <f>CONCATENATE("an",Table1[[#This Row],[name]],"_ID")</f>
        <v>anBonusHandDownRight_ID</v>
      </c>
      <c r="K376" s="1" t="str">
        <f>CONCATENATE(Table1[[#This Row],[asm]]," = $",Table1[[#This Row],[idh]])</f>
        <v>anBonusHandDownRight_ID = $176</v>
      </c>
      <c r="L376" s="1" t="str">
        <f>CONCATENATE("animNames.append(""",Table1[[#This Row],[name]],""")")</f>
        <v>animNames.append("BonusHandDownRight")</v>
      </c>
      <c r="M376" s="8" t="str">
        <f>CONCATENATE("reqSprBanks.append(0x",Table1[[#This Row],[imgbank]],")")</f>
        <v>reqSprBanks.append(0x0A)</v>
      </c>
    </row>
    <row r="377" spans="1:13" x14ac:dyDescent="0.25">
      <c r="A377" s="1">
        <v>375</v>
      </c>
      <c r="B377" s="1" t="s">
        <v>1470</v>
      </c>
      <c r="C377" s="2" t="s">
        <v>379</v>
      </c>
      <c r="D377" s="1" t="s">
        <v>1032</v>
      </c>
      <c r="E377" s="3" t="s">
        <v>716</v>
      </c>
      <c r="F377" s="1" t="s">
        <v>460</v>
      </c>
      <c r="G377" s="2" t="s">
        <v>1105</v>
      </c>
      <c r="H377" s="1"/>
      <c r="I377" s="1" t="str">
        <f>Table1[[#This Row],[idh]]</f>
        <v>177</v>
      </c>
      <c r="J377" s="1" t="str">
        <f>CONCATENATE("an",Table1[[#This Row],[name]],"_ID")</f>
        <v>anBonusHandDownLeft_ID</v>
      </c>
      <c r="K377" s="1" t="str">
        <f>CONCATENATE(Table1[[#This Row],[asm]]," = $",Table1[[#This Row],[idh]])</f>
        <v>anBonusHandDownLeft_ID = $177</v>
      </c>
      <c r="L377" s="1" t="str">
        <f>CONCATENATE("animNames.append(""",Table1[[#This Row],[name]],""")")</f>
        <v>animNames.append("BonusHandDownLeft")</v>
      </c>
      <c r="M377" s="8" t="str">
        <f>CONCATENATE("reqSprBanks.append(0x",Table1[[#This Row],[imgbank]],")")</f>
        <v>reqSprBanks.append(0x0A)</v>
      </c>
    </row>
    <row r="378" spans="1:13" x14ac:dyDescent="0.25">
      <c r="A378" s="1">
        <v>376</v>
      </c>
      <c r="B378" s="1" t="s">
        <v>1471</v>
      </c>
      <c r="C378" s="2" t="s">
        <v>377</v>
      </c>
      <c r="D378" s="1" t="s">
        <v>1033</v>
      </c>
      <c r="E378" s="3" t="s">
        <v>714</v>
      </c>
      <c r="F378" s="1" t="s">
        <v>460</v>
      </c>
      <c r="G378" s="2" t="s">
        <v>1105</v>
      </c>
      <c r="H378" s="1" t="s">
        <v>900</v>
      </c>
      <c r="I378" s="1" t="str">
        <f>Table1[[#This Row],[idh]]</f>
        <v>178</v>
      </c>
      <c r="J378" s="1" t="str">
        <f>CONCATENATE("an",Table1[[#This Row],[name]],"_ID")</f>
        <v>anBonusHandUpLeftAlt_ID</v>
      </c>
      <c r="K378" s="1" t="str">
        <f>CONCATENATE(Table1[[#This Row],[asm]]," = $",Table1[[#This Row],[idh]])</f>
        <v>anBonusHandUpLeftAlt_ID = $178</v>
      </c>
      <c r="L378" s="1" t="str">
        <f>CONCATENATE("animNames.append(""",Table1[[#This Row],[name]],""")")</f>
        <v>animNames.append("BonusHandUpLeftAlt")</v>
      </c>
      <c r="M378" s="8" t="str">
        <f>CONCATENATE("reqSprBanks.append(0x",Table1[[#This Row],[imgbank]],")")</f>
        <v>reqSprBanks.append(0x0A)</v>
      </c>
    </row>
    <row r="379" spans="1:13" x14ac:dyDescent="0.25">
      <c r="A379" s="1">
        <v>377</v>
      </c>
      <c r="B379" s="1" t="s">
        <v>1472</v>
      </c>
      <c r="C379" s="2" t="s">
        <v>378</v>
      </c>
      <c r="D379" s="1" t="s">
        <v>1034</v>
      </c>
      <c r="E379" s="3" t="s">
        <v>715</v>
      </c>
      <c r="F379" s="1" t="s">
        <v>460</v>
      </c>
      <c r="G379" s="2" t="s">
        <v>1105</v>
      </c>
      <c r="H379" s="1" t="s">
        <v>900</v>
      </c>
      <c r="I379" s="1" t="str">
        <f>Table1[[#This Row],[idh]]</f>
        <v>179</v>
      </c>
      <c r="J379" s="1" t="str">
        <f>CONCATENATE("an",Table1[[#This Row],[name]],"_ID")</f>
        <v>anBonusHandUpRightAlt_ID</v>
      </c>
      <c r="K379" s="1" t="str">
        <f>CONCATENATE(Table1[[#This Row],[asm]]," = $",Table1[[#This Row],[idh]])</f>
        <v>anBonusHandUpRightAlt_ID = $179</v>
      </c>
      <c r="L379" s="1" t="str">
        <f>CONCATENATE("animNames.append(""",Table1[[#This Row],[name]],""")")</f>
        <v>animNames.append("BonusHandUpRightAlt")</v>
      </c>
      <c r="M379" s="8" t="str">
        <f>CONCATENATE("reqSprBanks.append(0x",Table1[[#This Row],[imgbank]],")")</f>
        <v>reqSprBanks.append(0x0A)</v>
      </c>
    </row>
    <row r="380" spans="1:13" x14ac:dyDescent="0.25">
      <c r="A380" s="1">
        <v>378</v>
      </c>
      <c r="B380" s="1" t="s">
        <v>1473</v>
      </c>
      <c r="C380" s="2" t="s">
        <v>379</v>
      </c>
      <c r="D380" s="1" t="s">
        <v>1035</v>
      </c>
      <c r="E380" s="3" t="s">
        <v>716</v>
      </c>
      <c r="F380" s="1" t="s">
        <v>460</v>
      </c>
      <c r="G380" s="2" t="s">
        <v>1105</v>
      </c>
      <c r="H380" s="1" t="s">
        <v>900</v>
      </c>
      <c r="I380" s="1" t="str">
        <f>Table1[[#This Row],[idh]]</f>
        <v>17A</v>
      </c>
      <c r="J380" s="1" t="str">
        <f>CONCATENATE("an",Table1[[#This Row],[name]],"_ID")</f>
        <v>anBonusHandDownLeftAlt_ID</v>
      </c>
      <c r="K380" s="1" t="str">
        <f>CONCATENATE(Table1[[#This Row],[asm]]," = $",Table1[[#This Row],[idh]])</f>
        <v>anBonusHandDownLeftAlt_ID = $17A</v>
      </c>
      <c r="L380" s="1" t="str">
        <f>CONCATENATE("animNames.append(""",Table1[[#This Row],[name]],""")")</f>
        <v>animNames.append("BonusHandDownLeftAlt")</v>
      </c>
      <c r="M380" s="8" t="str">
        <f>CONCATENATE("reqSprBanks.append(0x",Table1[[#This Row],[imgbank]],")")</f>
        <v>reqSprBanks.append(0x0A)</v>
      </c>
    </row>
    <row r="381" spans="1:13" x14ac:dyDescent="0.25">
      <c r="A381" s="1">
        <v>379</v>
      </c>
      <c r="B381" s="1" t="s">
        <v>1474</v>
      </c>
      <c r="C381" s="2" t="s">
        <v>380</v>
      </c>
      <c r="D381" s="1" t="s">
        <v>1036</v>
      </c>
      <c r="E381" s="3" t="s">
        <v>717</v>
      </c>
      <c r="F381" s="1" t="s">
        <v>461</v>
      </c>
      <c r="G381" s="2" t="s">
        <v>1105</v>
      </c>
      <c r="H381" s="1"/>
      <c r="I381" s="1" t="str">
        <f>Table1[[#This Row],[idh]]</f>
        <v>17B</v>
      </c>
      <c r="J381" s="1" t="str">
        <f>CONCATENATE("an",Table1[[#This Row],[name]],"_ID")</f>
        <v>anIntroSkull_ID</v>
      </c>
      <c r="K381" s="1" t="str">
        <f>CONCATENATE(Table1[[#This Row],[asm]]," = $",Table1[[#This Row],[idh]])</f>
        <v>anIntroSkull_ID = $17B</v>
      </c>
      <c r="L381" s="1" t="str">
        <f>CONCATENATE("animNames.append(""",Table1[[#This Row],[name]],""")")</f>
        <v>animNames.append("IntroSkull")</v>
      </c>
      <c r="M381" s="8" t="str">
        <f>CONCATENATE("reqSprBanks.append(0x",Table1[[#This Row],[imgbank]],")")</f>
        <v>reqSprBanks.append(0x0A)</v>
      </c>
    </row>
    <row r="382" spans="1:13" x14ac:dyDescent="0.25">
      <c r="A382" s="1">
        <v>380</v>
      </c>
      <c r="B382" s="1" t="s">
        <v>1475</v>
      </c>
      <c r="C382" s="2" t="s">
        <v>261</v>
      </c>
      <c r="D382" s="1" t="s">
        <v>1037</v>
      </c>
      <c r="E382" s="3" t="s">
        <v>718</v>
      </c>
      <c r="F382" s="1" t="s">
        <v>461</v>
      </c>
      <c r="G382" s="2" t="s">
        <v>1105</v>
      </c>
      <c r="H382" s="1"/>
      <c r="I382" s="1" t="str">
        <f>Table1[[#This Row],[idh]]</f>
        <v>17C</v>
      </c>
      <c r="J382" s="1" t="str">
        <f>CONCATENATE("an",Table1[[#This Row],[name]],"_ID")</f>
        <v>anIntroDrunksHide_ID</v>
      </c>
      <c r="K382" s="1" t="str">
        <f>CONCATENATE(Table1[[#This Row],[asm]]," = $",Table1[[#This Row],[idh]])</f>
        <v>anIntroDrunksHide_ID = $17C</v>
      </c>
      <c r="L382" s="1" t="str">
        <f>CONCATENATE("animNames.append(""",Table1[[#This Row],[name]],""")")</f>
        <v>animNames.append("IntroDrunksHide")</v>
      </c>
      <c r="M382" s="8" t="str">
        <f>CONCATENATE("reqSprBanks.append(0x",Table1[[#This Row],[imgbank]],")")</f>
        <v>reqSprBanks.append(0x0A)</v>
      </c>
    </row>
    <row r="383" spans="1:13" x14ac:dyDescent="0.25">
      <c r="A383" s="1">
        <v>381</v>
      </c>
      <c r="B383" s="1" t="s">
        <v>1476</v>
      </c>
      <c r="C383" s="2" t="s">
        <v>381</v>
      </c>
      <c r="D383" s="1" t="s">
        <v>1506</v>
      </c>
      <c r="E383" s="3" t="s">
        <v>1507</v>
      </c>
      <c r="F383" s="1" t="s">
        <v>461</v>
      </c>
      <c r="G383" s="2" t="s">
        <v>1105</v>
      </c>
      <c r="H383" s="1"/>
      <c r="I383" s="1" t="str">
        <f>Table1[[#This Row],[idh]]</f>
        <v>17D</v>
      </c>
      <c r="J383" s="1" t="str">
        <f>CONCATENATE("an",Table1[[#This Row],[name]],"_ID")</f>
        <v>anSpell_ID</v>
      </c>
      <c r="K383" s="1" t="str">
        <f>CONCATENATE(Table1[[#This Row],[asm]]," = $",Table1[[#This Row],[idh]])</f>
        <v>anSpell_ID = $17D</v>
      </c>
      <c r="L383" s="1" t="str">
        <f>CONCATENATE("animNames.append(""",Table1[[#This Row],[name]],""")")</f>
        <v>animNames.append("Spell")</v>
      </c>
      <c r="M383" s="8" t="str">
        <f>CONCATENATE("reqSprBanks.append(0x",Table1[[#This Row],[imgbank]],")")</f>
        <v>reqSprBanks.append(0x0A)</v>
      </c>
    </row>
    <row r="384" spans="1:13" x14ac:dyDescent="0.25">
      <c r="A384" s="1">
        <v>382</v>
      </c>
      <c r="B384" s="1" t="s">
        <v>1477</v>
      </c>
      <c r="C384" s="2" t="s">
        <v>382</v>
      </c>
      <c r="D384" s="1" t="s">
        <v>1038</v>
      </c>
      <c r="E384" s="3" t="s">
        <v>719</v>
      </c>
      <c r="F384" s="1" t="s">
        <v>461</v>
      </c>
      <c r="G384" s="2" t="s">
        <v>1105</v>
      </c>
      <c r="H384" s="1"/>
      <c r="I384" s="1" t="str">
        <f>Table1[[#This Row],[idh]]</f>
        <v>17E</v>
      </c>
      <c r="J384" s="1" t="str">
        <f>CONCATENATE("an",Table1[[#This Row],[name]],"_ID")</f>
        <v>anIntroCubbyFloat_ID</v>
      </c>
      <c r="K384" s="1" t="str">
        <f>CONCATENATE(Table1[[#This Row],[asm]]," = $",Table1[[#This Row],[idh]])</f>
        <v>anIntroCubbyFloat_ID = $17E</v>
      </c>
      <c r="L384" s="1" t="str">
        <f>CONCATENATE("animNames.append(""",Table1[[#This Row],[name]],""")")</f>
        <v>animNames.append("IntroCubbyFloat")</v>
      </c>
      <c r="M384" s="8" t="str">
        <f>CONCATENATE("reqSprBanks.append(0x",Table1[[#This Row],[imgbank]],")")</f>
        <v>reqSprBanks.append(0x0A)</v>
      </c>
    </row>
    <row r="385" spans="1:13" x14ac:dyDescent="0.25">
      <c r="A385" s="1">
        <v>383</v>
      </c>
      <c r="B385" s="1" t="s">
        <v>1478</v>
      </c>
      <c r="C385" s="2" t="s">
        <v>262</v>
      </c>
      <c r="D385" s="1" t="s">
        <v>1039</v>
      </c>
      <c r="E385" s="3" t="s">
        <v>720</v>
      </c>
      <c r="F385" s="1" t="s">
        <v>462</v>
      </c>
      <c r="G385" s="2" t="s">
        <v>1105</v>
      </c>
      <c r="H385" s="1"/>
      <c r="I385" s="1" t="str">
        <f>Table1[[#This Row],[idh]]</f>
        <v>17F</v>
      </c>
      <c r="J385" s="1" t="str">
        <f>CONCATENATE("an",Table1[[#This Row],[name]],"_ID")</f>
        <v>anIntroJudyTrapped_ID</v>
      </c>
      <c r="K385" s="1" t="str">
        <f>CONCATENATE(Table1[[#This Row],[asm]]," = $",Table1[[#This Row],[idh]])</f>
        <v>anIntroJudyTrapped_ID = $17F</v>
      </c>
      <c r="L385" s="1" t="str">
        <f>CONCATENATE("animNames.append(""",Table1[[#This Row],[name]],""")")</f>
        <v>animNames.append("IntroJudyTrapped")</v>
      </c>
      <c r="M385" s="8" t="str">
        <f>CONCATENATE("reqSprBanks.append(0x",Table1[[#This Row],[imgbank]],")")</f>
        <v>reqSprBanks.append(0x0A)</v>
      </c>
    </row>
    <row r="386" spans="1:13" x14ac:dyDescent="0.25">
      <c r="A386" s="1">
        <v>384</v>
      </c>
      <c r="B386" s="1" t="s">
        <v>1479</v>
      </c>
      <c r="C386" s="2" t="s">
        <v>383</v>
      </c>
      <c r="D386" s="1" t="s">
        <v>1040</v>
      </c>
      <c r="E386" s="3" t="s">
        <v>721</v>
      </c>
      <c r="F386" s="1" t="s">
        <v>462</v>
      </c>
      <c r="G386" s="2" t="s">
        <v>1105</v>
      </c>
      <c r="H386" s="1"/>
      <c r="I386" s="1" t="str">
        <f>Table1[[#This Row],[idh]]</f>
        <v>180</v>
      </c>
      <c r="J386" s="1" t="str">
        <f>CONCATENATE("an",Table1[[#This Row],[name]],"_ID")</f>
        <v>anIntroJudyShout_ID</v>
      </c>
      <c r="K386" s="1" t="str">
        <f>CONCATENATE(Table1[[#This Row],[asm]]," = $",Table1[[#This Row],[idh]])</f>
        <v>anIntroJudyShout_ID = $180</v>
      </c>
      <c r="L386" s="1" t="str">
        <f>CONCATENATE("animNames.append(""",Table1[[#This Row],[name]],""")")</f>
        <v>animNames.append("IntroJudyShout")</v>
      </c>
      <c r="M386" s="8" t="str">
        <f>CONCATENATE("reqSprBanks.append(0x",Table1[[#This Row],[imgbank]],")")</f>
        <v>reqSprBanks.append(0x0A)</v>
      </c>
    </row>
    <row r="387" spans="1:13" x14ac:dyDescent="0.25">
      <c r="A387" s="1">
        <v>385</v>
      </c>
      <c r="B387" s="1" t="s">
        <v>1480</v>
      </c>
      <c r="C387" s="2" t="s">
        <v>263</v>
      </c>
      <c r="D387" s="1" t="s">
        <v>1045</v>
      </c>
      <c r="E387" s="3" t="s">
        <v>722</v>
      </c>
      <c r="F387" s="1" t="s">
        <v>459</v>
      </c>
      <c r="G387" s="2" t="s">
        <v>1105</v>
      </c>
      <c r="H387" s="1"/>
      <c r="I387" s="1" t="str">
        <f>Table1[[#This Row],[idh]]</f>
        <v>181</v>
      </c>
      <c r="J387" s="1" t="str">
        <f>CONCATENATE("an",Table1[[#This Row],[name]],"_ID")</f>
        <v>anCubbyL_ID</v>
      </c>
      <c r="K387" s="1" t="str">
        <f>CONCATENATE(Table1[[#This Row],[asm]]," = $",Table1[[#This Row],[idh]])</f>
        <v>anCubbyL_ID = $181</v>
      </c>
      <c r="L387" s="1" t="str">
        <f>CONCATENATE("animNames.append(""",Table1[[#This Row],[name]],""")")</f>
        <v>animNames.append("CubbyL")</v>
      </c>
      <c r="M387" s="8" t="str">
        <f>CONCATENATE("reqSprBanks.append(0x",Table1[[#This Row],[imgbank]],")")</f>
        <v>reqSprBanks.append(0x0A)</v>
      </c>
    </row>
    <row r="388" spans="1:13" x14ac:dyDescent="0.25">
      <c r="A388" s="1">
        <v>386</v>
      </c>
      <c r="B388" s="1" t="s">
        <v>1481</v>
      </c>
      <c r="C388" s="2" t="s">
        <v>384</v>
      </c>
      <c r="D388" s="1" t="s">
        <v>1044</v>
      </c>
      <c r="E388" s="3" t="s">
        <v>723</v>
      </c>
      <c r="F388" s="1" t="s">
        <v>459</v>
      </c>
      <c r="G388" s="2" t="s">
        <v>1105</v>
      </c>
      <c r="H388" s="1"/>
      <c r="I388" s="1" t="str">
        <f>Table1[[#This Row],[idh]]</f>
        <v>182</v>
      </c>
      <c r="J388" s="1" t="str">
        <f>CONCATENATE("an",Table1[[#This Row],[name]],"_ID")</f>
        <v>anBossJudyL_ID</v>
      </c>
      <c r="K388" s="1" t="str">
        <f>CONCATENATE(Table1[[#This Row],[asm]]," = $",Table1[[#This Row],[idh]])</f>
        <v>anBossJudyL_ID = $182</v>
      </c>
      <c r="L388" s="1" t="str">
        <f>CONCATENATE("animNames.append(""",Table1[[#This Row],[name]],""")")</f>
        <v>animNames.append("BossJudyL")</v>
      </c>
      <c r="M388" s="8" t="str">
        <f>CONCATENATE("reqSprBanks.append(0x",Table1[[#This Row],[imgbank]],")")</f>
        <v>reqSprBanks.append(0x0A)</v>
      </c>
    </row>
    <row r="389" spans="1:13" x14ac:dyDescent="0.25">
      <c r="A389" s="1">
        <v>387</v>
      </c>
      <c r="B389" s="1" t="s">
        <v>1482</v>
      </c>
      <c r="C389" s="2" t="s">
        <v>385</v>
      </c>
      <c r="D389" s="1" t="s">
        <v>1041</v>
      </c>
      <c r="E389" s="3" t="s">
        <v>724</v>
      </c>
      <c r="F389" s="1" t="s">
        <v>432</v>
      </c>
      <c r="G389" s="2" t="s">
        <v>1105</v>
      </c>
      <c r="H389" s="1"/>
      <c r="I389" s="1" t="str">
        <f>Table1[[#This Row],[idh]]</f>
        <v>183</v>
      </c>
      <c r="J389" s="1" t="str">
        <f>CONCATENATE("an",Table1[[#This Row],[name]],"_ID")</f>
        <v>anIntroDrunksWalkL_ID</v>
      </c>
      <c r="K389" s="1" t="str">
        <f>CONCATENATE(Table1[[#This Row],[asm]]," = $",Table1[[#This Row],[idh]])</f>
        <v>anIntroDrunksWalkL_ID = $183</v>
      </c>
      <c r="L389" s="1" t="str">
        <f>CONCATENATE("animNames.append(""",Table1[[#This Row],[name]],""")")</f>
        <v>animNames.append("IntroDrunksWalkL")</v>
      </c>
      <c r="M389" s="8" t="str">
        <f>CONCATENATE("reqSprBanks.append(0x",Table1[[#This Row],[imgbank]],")")</f>
        <v>reqSprBanks.append(0x0A)</v>
      </c>
    </row>
    <row r="390" spans="1:13" x14ac:dyDescent="0.25">
      <c r="A390" s="1">
        <v>388</v>
      </c>
      <c r="B390" s="1" t="s">
        <v>1483</v>
      </c>
      <c r="C390" s="2" t="s">
        <v>264</v>
      </c>
      <c r="D390" s="1" t="s">
        <v>1042</v>
      </c>
      <c r="E390" s="3" t="s">
        <v>725</v>
      </c>
      <c r="F390" s="1" t="s">
        <v>432</v>
      </c>
      <c r="G390" s="2" t="s">
        <v>1105</v>
      </c>
      <c r="H390" s="1"/>
      <c r="I390" s="1" t="str">
        <f>Table1[[#This Row],[idh]]</f>
        <v>184</v>
      </c>
      <c r="J390" s="1" t="str">
        <f>CONCATENATE("an",Table1[[#This Row],[name]],"_ID")</f>
        <v>anIntroDrunksWalkR_ID</v>
      </c>
      <c r="K390" s="1" t="str">
        <f>CONCATENATE(Table1[[#This Row],[asm]]," = $",Table1[[#This Row],[idh]])</f>
        <v>anIntroDrunksWalkR_ID = $184</v>
      </c>
      <c r="L390" s="1" t="str">
        <f>CONCATENATE("animNames.append(""",Table1[[#This Row],[name]],""")")</f>
        <v>animNames.append("IntroDrunksWalkR")</v>
      </c>
      <c r="M390" s="8" t="str">
        <f>CONCATENATE("reqSprBanks.append(0x",Table1[[#This Row],[imgbank]],")")</f>
        <v>reqSprBanks.append(0x0A)</v>
      </c>
    </row>
    <row r="391" spans="1:13" x14ac:dyDescent="0.25">
      <c r="A391" s="1">
        <v>389</v>
      </c>
      <c r="B391" s="1" t="s">
        <v>1484</v>
      </c>
      <c r="C391" s="2" t="s">
        <v>386</v>
      </c>
      <c r="D391" s="1" t="s">
        <v>1043</v>
      </c>
      <c r="E391" s="3" t="s">
        <v>726</v>
      </c>
      <c r="F391" s="1" t="s">
        <v>402</v>
      </c>
      <c r="G391" s="2" t="s">
        <v>1105</v>
      </c>
      <c r="H391" s="1"/>
      <c r="I391" s="1" t="str">
        <f>Table1[[#This Row],[idh]]</f>
        <v>185</v>
      </c>
      <c r="J391" s="1" t="str">
        <f>CONCATENATE("an",Table1[[#This Row],[name]],"_ID")</f>
        <v>anIntroPlayerWalkL_ID</v>
      </c>
      <c r="K391" s="1" t="str">
        <f>CONCATENATE(Table1[[#This Row],[asm]]," = $",Table1[[#This Row],[idh]])</f>
        <v>anIntroPlayerWalkL_ID = $185</v>
      </c>
      <c r="L391" s="1" t="str">
        <f>CONCATENATE("animNames.append(""",Table1[[#This Row],[name]],""")")</f>
        <v>animNames.append("IntroPlayerWalkL")</v>
      </c>
      <c r="M391" s="8" t="str">
        <f>CONCATENATE("reqSprBanks.append(0x",Table1[[#This Row],[imgbank]],")")</f>
        <v>reqSprBanks.append(0x0A)</v>
      </c>
    </row>
    <row r="392" spans="1:13" x14ac:dyDescent="0.25">
      <c r="A392" s="1">
        <v>390</v>
      </c>
      <c r="B392" s="1" t="s">
        <v>1485</v>
      </c>
      <c r="C392" s="2" t="s">
        <v>265</v>
      </c>
      <c r="D392" s="1" t="s">
        <v>1046</v>
      </c>
      <c r="E392" s="3" t="s">
        <v>727</v>
      </c>
      <c r="F392" s="1" t="s">
        <v>463</v>
      </c>
      <c r="G392" s="2" t="s">
        <v>1105</v>
      </c>
      <c r="H392" s="1"/>
      <c r="I392" s="1" t="str">
        <f>Table1[[#This Row],[idh]]</f>
        <v>186</v>
      </c>
      <c r="J392" s="1" t="str">
        <f>CONCATENATE("an",Table1[[#This Row],[name]],"_ID")</f>
        <v>anBarcelonL_ID</v>
      </c>
      <c r="K392" s="1" t="str">
        <f>CONCATENATE(Table1[[#This Row],[asm]]," = $",Table1[[#This Row],[idh]])</f>
        <v>anBarcelonL_ID = $186</v>
      </c>
      <c r="L392" s="1" t="str">
        <f>CONCATENATE("animNames.append(""",Table1[[#This Row],[name]],""")")</f>
        <v>animNames.append("BarcelonL")</v>
      </c>
      <c r="M392" s="8" t="str">
        <f>CONCATENATE("reqSprBanks.append(0x",Table1[[#This Row],[imgbank]],")")</f>
        <v>reqSprBanks.append(0x0A)</v>
      </c>
    </row>
    <row r="393" spans="1:13" x14ac:dyDescent="0.25">
      <c r="A393" s="1">
        <v>391</v>
      </c>
      <c r="B393" s="1" t="s">
        <v>1486</v>
      </c>
      <c r="C393" s="2" t="s">
        <v>266</v>
      </c>
      <c r="D393" s="1" t="s">
        <v>1512</v>
      </c>
      <c r="E393" s="3" t="s">
        <v>729</v>
      </c>
      <c r="F393" s="1" t="s">
        <v>463</v>
      </c>
      <c r="G393" s="2" t="s">
        <v>1105</v>
      </c>
      <c r="H393" s="1"/>
      <c r="I393" s="1" t="str">
        <f>Table1[[#This Row],[idh]]</f>
        <v>187</v>
      </c>
      <c r="J393" s="1" t="str">
        <f>CONCATENATE("an",Table1[[#This Row],[name]],"_ID")</f>
        <v>anBarcelonLoseL_ID</v>
      </c>
      <c r="K393" s="1" t="str">
        <f>CONCATENATE(Table1[[#This Row],[asm]]," = $",Table1[[#This Row],[idh]])</f>
        <v>anBarcelonLoseL_ID = $187</v>
      </c>
      <c r="L393" s="1" t="str">
        <f>CONCATENATE("animNames.append(""",Table1[[#This Row],[name]],""")")</f>
        <v>animNames.append("BarcelonLoseL")</v>
      </c>
      <c r="M393" s="8" t="str">
        <f>CONCATENATE("reqSprBanks.append(0x",Table1[[#This Row],[imgbank]],")")</f>
        <v>reqSprBanks.append(0x0A)</v>
      </c>
    </row>
    <row r="394" spans="1:13" x14ac:dyDescent="0.25">
      <c r="A394" s="1">
        <v>392</v>
      </c>
      <c r="B394" s="1" t="s">
        <v>1487</v>
      </c>
      <c r="C394" s="2" t="s">
        <v>267</v>
      </c>
      <c r="D394" s="1" t="s">
        <v>1047</v>
      </c>
      <c r="E394" s="3" t="s">
        <v>730</v>
      </c>
      <c r="F394" s="1" t="s">
        <v>464</v>
      </c>
      <c r="G394" s="2" t="s">
        <v>1105</v>
      </c>
      <c r="H394" s="1"/>
      <c r="I394" s="1" t="str">
        <f>Table1[[#This Row],[idh]]</f>
        <v>188</v>
      </c>
      <c r="J394" s="1" t="str">
        <f>CONCATENATE("an",Table1[[#This Row],[name]],"_ID")</f>
        <v>anBarcelonJumpL_ID</v>
      </c>
      <c r="K394" s="1" t="str">
        <f>CONCATENATE(Table1[[#This Row],[asm]]," = $",Table1[[#This Row],[idh]])</f>
        <v>anBarcelonJumpL_ID = $188</v>
      </c>
      <c r="L394" s="1" t="str">
        <f>CONCATENATE("animNames.append(""",Table1[[#This Row],[name]],""")")</f>
        <v>animNames.append("BarcelonJumpL")</v>
      </c>
      <c r="M394" s="8" t="str">
        <f>CONCATENATE("reqSprBanks.append(0x",Table1[[#This Row],[imgbank]],")")</f>
        <v>reqSprBanks.append(0x0A)</v>
      </c>
    </row>
    <row r="395" spans="1:13" x14ac:dyDescent="0.25">
      <c r="A395" s="1">
        <v>393</v>
      </c>
      <c r="B395" s="1" t="s">
        <v>1488</v>
      </c>
      <c r="C395" s="2" t="s">
        <v>268</v>
      </c>
      <c r="D395" s="1" t="s">
        <v>1048</v>
      </c>
      <c r="E395" s="3" t="s">
        <v>733</v>
      </c>
      <c r="F395" s="1" t="s">
        <v>464</v>
      </c>
      <c r="G395" s="2" t="s">
        <v>1105</v>
      </c>
      <c r="H395" s="1"/>
      <c r="I395" s="1" t="str">
        <f>Table1[[#This Row],[idh]]</f>
        <v>189</v>
      </c>
      <c r="J395" s="1" t="str">
        <f>CONCATENATE("an",Table1[[#This Row],[name]],"_ID")</f>
        <v>anBarcelonFallL_ID</v>
      </c>
      <c r="K395" s="1" t="str">
        <f>CONCATENATE(Table1[[#This Row],[asm]]," = $",Table1[[#This Row],[idh]])</f>
        <v>anBarcelonFallL_ID = $189</v>
      </c>
      <c r="L395" s="1" t="str">
        <f>CONCATENATE("animNames.append(""",Table1[[#This Row],[name]],""")")</f>
        <v>animNames.append("BarcelonFallL")</v>
      </c>
      <c r="M395" s="8" t="str">
        <f>CONCATENATE("reqSprBanks.append(0x",Table1[[#This Row],[imgbank]],")")</f>
        <v>reqSprBanks.append(0x0A)</v>
      </c>
    </row>
    <row r="396" spans="1:13" x14ac:dyDescent="0.25">
      <c r="A396" s="1">
        <v>394</v>
      </c>
      <c r="B396" s="1" t="s">
        <v>1489</v>
      </c>
      <c r="C396" s="2" t="s">
        <v>269</v>
      </c>
      <c r="D396" s="1" t="s">
        <v>1049</v>
      </c>
      <c r="E396" s="3" t="s">
        <v>728</v>
      </c>
      <c r="F396" s="1" t="s">
        <v>463</v>
      </c>
      <c r="G396" s="2" t="s">
        <v>1105</v>
      </c>
      <c r="H396" s="1"/>
      <c r="I396" s="1" t="str">
        <f>Table1[[#This Row],[idh]]</f>
        <v>18A</v>
      </c>
      <c r="J396" s="1" t="str">
        <f>CONCATENATE("an",Table1[[#This Row],[name]],"_ID")</f>
        <v>anBarcelonR_ID</v>
      </c>
      <c r="K396" s="1" t="str">
        <f>CONCATENATE(Table1[[#This Row],[asm]]," = $",Table1[[#This Row],[idh]])</f>
        <v>anBarcelonR_ID = $18A</v>
      </c>
      <c r="L396" s="1" t="str">
        <f>CONCATENATE("animNames.append(""",Table1[[#This Row],[name]],""")")</f>
        <v>animNames.append("BarcelonR")</v>
      </c>
      <c r="M396" s="8" t="str">
        <f>CONCATENATE("reqSprBanks.append(0x",Table1[[#This Row],[imgbank]],")")</f>
        <v>reqSprBanks.append(0x0A)</v>
      </c>
    </row>
    <row r="397" spans="1:13" x14ac:dyDescent="0.25">
      <c r="A397" s="1">
        <v>395</v>
      </c>
      <c r="B397" s="1" t="s">
        <v>1490</v>
      </c>
      <c r="C397" s="2" t="s">
        <v>270</v>
      </c>
      <c r="D397" s="1" t="s">
        <v>1513</v>
      </c>
      <c r="E397" s="3" t="s">
        <v>731</v>
      </c>
      <c r="F397" s="1" t="s">
        <v>463</v>
      </c>
      <c r="G397" s="2" t="s">
        <v>1105</v>
      </c>
      <c r="H397" s="1"/>
      <c r="I397" s="1" t="str">
        <f>Table1[[#This Row],[idh]]</f>
        <v>18B</v>
      </c>
      <c r="J397" s="1" t="str">
        <f>CONCATENATE("an",Table1[[#This Row],[name]],"_ID")</f>
        <v>anBarcelonLoseR_ID</v>
      </c>
      <c r="K397" s="1" t="str">
        <f>CONCATENATE(Table1[[#This Row],[asm]]," = $",Table1[[#This Row],[idh]])</f>
        <v>anBarcelonLoseR_ID = $18B</v>
      </c>
      <c r="L397" s="1" t="str">
        <f>CONCATENATE("animNames.append(""",Table1[[#This Row],[name]],""")")</f>
        <v>animNames.append("BarcelonLoseR")</v>
      </c>
      <c r="M397" s="8" t="str">
        <f>CONCATENATE("reqSprBanks.append(0x",Table1[[#This Row],[imgbank]],")")</f>
        <v>reqSprBanks.append(0x0A)</v>
      </c>
    </row>
    <row r="398" spans="1:13" x14ac:dyDescent="0.25">
      <c r="A398" s="1">
        <v>396</v>
      </c>
      <c r="B398" s="1" t="s">
        <v>1491</v>
      </c>
      <c r="C398" s="2" t="s">
        <v>271</v>
      </c>
      <c r="D398" s="1" t="s">
        <v>1050</v>
      </c>
      <c r="E398" s="3" t="s">
        <v>732</v>
      </c>
      <c r="F398" s="1" t="s">
        <v>464</v>
      </c>
      <c r="G398" s="2" t="s">
        <v>1105</v>
      </c>
      <c r="H398" s="1"/>
      <c r="I398" s="1" t="str">
        <f>Table1[[#This Row],[idh]]</f>
        <v>18C</v>
      </c>
      <c r="J398" s="1" t="str">
        <f>CONCATENATE("an",Table1[[#This Row],[name]],"_ID")</f>
        <v>anBarcelonJumpR_ID</v>
      </c>
      <c r="K398" s="1" t="str">
        <f>CONCATENATE(Table1[[#This Row],[asm]]," = $",Table1[[#This Row],[idh]])</f>
        <v>anBarcelonJumpR_ID = $18C</v>
      </c>
      <c r="L398" s="1" t="str">
        <f>CONCATENATE("animNames.append(""",Table1[[#This Row],[name]],""")")</f>
        <v>animNames.append("BarcelonJumpR")</v>
      </c>
      <c r="M398" s="8" t="str">
        <f>CONCATENATE("reqSprBanks.append(0x",Table1[[#This Row],[imgbank]],")")</f>
        <v>reqSprBanks.append(0x0A)</v>
      </c>
    </row>
    <row r="399" spans="1:13" x14ac:dyDescent="0.25">
      <c r="A399" s="1">
        <v>397</v>
      </c>
      <c r="B399" s="1" t="s">
        <v>1492</v>
      </c>
      <c r="C399" s="2" t="s">
        <v>272</v>
      </c>
      <c r="D399" s="1" t="s">
        <v>1051</v>
      </c>
      <c r="E399" s="3" t="s">
        <v>734</v>
      </c>
      <c r="F399" s="1" t="s">
        <v>464</v>
      </c>
      <c r="G399" s="2" t="s">
        <v>1105</v>
      </c>
      <c r="H399" s="1"/>
      <c r="I399" s="1" t="str">
        <f>Table1[[#This Row],[idh]]</f>
        <v>18D</v>
      </c>
      <c r="J399" s="1" t="str">
        <f>CONCATENATE("an",Table1[[#This Row],[name]],"_ID")</f>
        <v>anBarcelonFallR_ID</v>
      </c>
      <c r="K399" s="1" t="str">
        <f>CONCATENATE(Table1[[#This Row],[asm]]," = $",Table1[[#This Row],[idh]])</f>
        <v>anBarcelonFallR_ID = $18D</v>
      </c>
      <c r="L399" s="1" t="str">
        <f>CONCATENATE("animNames.append(""",Table1[[#This Row],[name]],""")")</f>
        <v>animNames.append("BarcelonFallR")</v>
      </c>
      <c r="M399" s="8" t="str">
        <f>CONCATENATE("reqSprBanks.append(0x",Table1[[#This Row],[imgbank]],")")</f>
        <v>reqSprBanks.append(0x0A)</v>
      </c>
    </row>
    <row r="400" spans="1:13" x14ac:dyDescent="0.25">
      <c r="A400" s="1">
        <v>398</v>
      </c>
      <c r="B400" s="1" t="s">
        <v>1493</v>
      </c>
      <c r="C400" s="2" t="s">
        <v>387</v>
      </c>
      <c r="D400" s="1" t="s">
        <v>1052</v>
      </c>
      <c r="E400" s="3" t="s">
        <v>735</v>
      </c>
      <c r="F400" s="1" t="s">
        <v>464</v>
      </c>
      <c r="G400" s="2" t="s">
        <v>1105</v>
      </c>
      <c r="H400" s="1"/>
      <c r="I400" s="1" t="str">
        <f>Table1[[#This Row],[idh]]</f>
        <v>18E</v>
      </c>
      <c r="J400" s="1" t="str">
        <f>CONCATENATE("an",Table1[[#This Row],[name]],"_ID")</f>
        <v>anBarcelonWin_ID</v>
      </c>
      <c r="K400" s="1" t="str">
        <f>CONCATENATE(Table1[[#This Row],[asm]]," = $",Table1[[#This Row],[idh]])</f>
        <v>anBarcelonWin_ID = $18E</v>
      </c>
      <c r="L400" s="1" t="str">
        <f>CONCATENATE("animNames.append(""",Table1[[#This Row],[name]],""")")</f>
        <v>animNames.append("BarcelonWin")</v>
      </c>
      <c r="M400" s="8" t="str">
        <f>CONCATENATE("reqSprBanks.append(0x",Table1[[#This Row],[imgbank]],")")</f>
        <v>reqSprBanks.append(0x0A)</v>
      </c>
    </row>
    <row r="401" spans="1:13" x14ac:dyDescent="0.25">
      <c r="A401" s="1">
        <v>399</v>
      </c>
      <c r="B401" s="1" t="s">
        <v>1494</v>
      </c>
      <c r="C401" s="2" t="s">
        <v>273</v>
      </c>
      <c r="D401" s="4" t="s">
        <v>1509</v>
      </c>
      <c r="E401" s="3" t="s">
        <v>1508</v>
      </c>
      <c r="F401" s="1" t="s">
        <v>402</v>
      </c>
      <c r="G401" s="2" t="s">
        <v>1588</v>
      </c>
      <c r="H401" s="1"/>
      <c r="I401" s="1" t="str">
        <f>Table1[[#This Row],[idh]]</f>
        <v>18F</v>
      </c>
      <c r="J401" s="1" t="str">
        <f>CONCATENATE("an",Table1[[#This Row],[name]],"_ID")</f>
        <v>anEndingPlayerWalkR_ID</v>
      </c>
      <c r="K401" s="1" t="str">
        <f>CONCATENATE(Table1[[#This Row],[asm]]," = $",Table1[[#This Row],[idh]])</f>
        <v>anEndingPlayerWalkR_ID = $18F</v>
      </c>
      <c r="L401" s="1" t="str">
        <f>CONCATENATE("animNames.append(""",Table1[[#This Row],[name]],""")")</f>
        <v>animNames.append("EndingPlayerWalkR")</v>
      </c>
      <c r="M401" s="8" t="str">
        <f>CONCATENATE("reqSprBanks.append(0x",Table1[[#This Row],[imgbank]],")")</f>
        <v>reqSprBanks.append(0x04,0A)</v>
      </c>
    </row>
    <row r="402" spans="1:13" x14ac:dyDescent="0.25">
      <c r="A402" s="1">
        <v>400</v>
      </c>
      <c r="B402" s="1" t="s">
        <v>1495</v>
      </c>
      <c r="C402" s="2" t="s">
        <v>274</v>
      </c>
      <c r="D402" s="1" t="s">
        <v>1053</v>
      </c>
      <c r="E402" s="3" t="s">
        <v>736</v>
      </c>
      <c r="F402" s="1" t="s">
        <v>465</v>
      </c>
      <c r="G402" s="2" t="s">
        <v>1099</v>
      </c>
      <c r="H402" s="1"/>
      <c r="I402" s="1" t="str">
        <f>Table1[[#This Row],[idh]]</f>
        <v>190</v>
      </c>
      <c r="J402" s="1" t="str">
        <f>CONCATENATE("an",Table1[[#This Row],[name]],"_ID")</f>
        <v>anBigCoin_ID</v>
      </c>
      <c r="K402" s="1" t="str">
        <f>CONCATENATE(Table1[[#This Row],[asm]]," = $",Table1[[#This Row],[idh]])</f>
        <v>anBigCoin_ID = $190</v>
      </c>
      <c r="L402" s="1" t="str">
        <f>CONCATENATE("animNames.append(""",Table1[[#This Row],[name]],""")")</f>
        <v>animNames.append("BigCoin")</v>
      </c>
      <c r="M402" s="8" t="str">
        <f>CONCATENATE("reqSprBanks.append(0x",Table1[[#This Row],[imgbank]],")")</f>
        <v>reqSprBanks.append(0x04)</v>
      </c>
    </row>
    <row r="403" spans="1:13" x14ac:dyDescent="0.25">
      <c r="A403" s="1">
        <v>401</v>
      </c>
      <c r="B403" s="1" t="s">
        <v>1496</v>
      </c>
      <c r="C403" s="2" t="s">
        <v>388</v>
      </c>
      <c r="D403" s="1" t="s">
        <v>1054</v>
      </c>
      <c r="E403" s="3" t="s">
        <v>737</v>
      </c>
      <c r="F403" s="1" t="s">
        <v>465</v>
      </c>
      <c r="G403" s="2" t="s">
        <v>1099</v>
      </c>
      <c r="H403" s="1"/>
      <c r="I403" s="1" t="str">
        <f>Table1[[#This Row],[idh]]</f>
        <v>191</v>
      </c>
      <c r="J403" s="1" t="str">
        <f>CONCATENATE("an",Table1[[#This Row],[name]],"_ID")</f>
        <v>anBigBell_ID</v>
      </c>
      <c r="K403" s="1" t="str">
        <f>CONCATENATE(Table1[[#This Row],[asm]]," = $",Table1[[#This Row],[idh]])</f>
        <v>anBigBell_ID = $191</v>
      </c>
      <c r="L403" s="1" t="str">
        <f>CONCATENATE("animNames.append(""",Table1[[#This Row],[name]],""")")</f>
        <v>animNames.append("BigBell")</v>
      </c>
      <c r="M403" s="8" t="str">
        <f>CONCATENATE("reqSprBanks.append(0x",Table1[[#This Row],[imgbank]],")")</f>
        <v>reqSprBanks.append(0x04)</v>
      </c>
    </row>
    <row r="404" spans="1:13" x14ac:dyDescent="0.25">
      <c r="A404" s="1">
        <v>402</v>
      </c>
      <c r="B404" s="1" t="s">
        <v>1497</v>
      </c>
      <c r="C404" s="2" t="s">
        <v>389</v>
      </c>
      <c r="D404" s="1" t="s">
        <v>1055</v>
      </c>
      <c r="E404" s="3" t="s">
        <v>738</v>
      </c>
      <c r="F404" s="1" t="s">
        <v>465</v>
      </c>
      <c r="G404" s="2" t="s">
        <v>1099</v>
      </c>
      <c r="H404" s="1"/>
      <c r="I404" s="1" t="str">
        <f>Table1[[#This Row],[idh]]</f>
        <v>192</v>
      </c>
      <c r="J404" s="1" t="str">
        <f>CONCATENATE("an",Table1[[#This Row],[name]],"_ID")</f>
        <v>anBigTriangle_ID</v>
      </c>
      <c r="K404" s="1" t="str">
        <f>CONCATENATE(Table1[[#This Row],[asm]]," = $",Table1[[#This Row],[idh]])</f>
        <v>anBigTriangle_ID = $192</v>
      </c>
      <c r="L404" s="1" t="str">
        <f>CONCATENATE("animNames.append(""",Table1[[#This Row],[name]],""")")</f>
        <v>animNames.append("BigTriangle")</v>
      </c>
      <c r="M404" s="8" t="str">
        <f>CONCATENATE("reqSprBanks.append(0x",Table1[[#This Row],[imgbank]],")")</f>
        <v>reqSprBanks.append(0x04)</v>
      </c>
    </row>
    <row r="405" spans="1:13" x14ac:dyDescent="0.25">
      <c r="A405" s="1">
        <v>403</v>
      </c>
      <c r="B405" s="1" t="s">
        <v>1498</v>
      </c>
      <c r="C405" s="2" t="s">
        <v>275</v>
      </c>
      <c r="D405" s="1" t="s">
        <v>1056</v>
      </c>
      <c r="E405" s="3" t="s">
        <v>739</v>
      </c>
      <c r="F405" s="1" t="s">
        <v>465</v>
      </c>
      <c r="G405" s="2" t="s">
        <v>1099</v>
      </c>
      <c r="H405" s="1"/>
      <c r="I405" s="1" t="str">
        <f>Table1[[#This Row],[idh]]</f>
        <v>193</v>
      </c>
      <c r="J405" s="1" t="str">
        <f>CONCATENATE("an",Table1[[#This Row],[name]],"_ID")</f>
        <v>anBigDiamond_ID</v>
      </c>
      <c r="K405" s="1" t="str">
        <f>CONCATENATE(Table1[[#This Row],[asm]]," = $",Table1[[#This Row],[idh]])</f>
        <v>anBigDiamond_ID = $193</v>
      </c>
      <c r="L405" s="1" t="str">
        <f>CONCATENATE("animNames.append(""",Table1[[#This Row],[name]],""")")</f>
        <v>animNames.append("BigDiamond")</v>
      </c>
      <c r="M405" s="8" t="str">
        <f>CONCATENATE("reqSprBanks.append(0x",Table1[[#This Row],[imgbank]],")")</f>
        <v>reqSprBanks.append(0x04)</v>
      </c>
    </row>
    <row r="406" spans="1:13" x14ac:dyDescent="0.25">
      <c r="A406" s="1">
        <v>404</v>
      </c>
      <c r="B406" s="1" t="s">
        <v>1499</v>
      </c>
      <c r="C406" s="2" t="s">
        <v>276</v>
      </c>
      <c r="D406" s="1" t="s">
        <v>1057</v>
      </c>
      <c r="E406" s="3" t="s">
        <v>741</v>
      </c>
      <c r="F406" s="1" t="s">
        <v>466</v>
      </c>
      <c r="G406" s="2" t="s">
        <v>1099</v>
      </c>
      <c r="H406" s="1"/>
      <c r="I406" s="1" t="str">
        <f>Table1[[#This Row],[idh]]</f>
        <v>194</v>
      </c>
      <c r="J406" s="1" t="str">
        <f>CONCATENATE("an",Table1[[#This Row],[name]],"_ID")</f>
        <v>anBigPudding_ID</v>
      </c>
      <c r="K406" s="1" t="str">
        <f>CONCATENATE(Table1[[#This Row],[asm]]," = $",Table1[[#This Row],[idh]])</f>
        <v>anBigPudding_ID = $194</v>
      </c>
      <c r="L406" s="1" t="str">
        <f>CONCATENATE("animNames.append(""",Table1[[#This Row],[name]],""")")</f>
        <v>animNames.append("BigPudding")</v>
      </c>
      <c r="M406" s="8" t="str">
        <f>CONCATENATE("reqSprBanks.append(0x",Table1[[#This Row],[imgbank]],")")</f>
        <v>reqSprBanks.append(0x04)</v>
      </c>
    </row>
    <row r="407" spans="1:13" x14ac:dyDescent="0.25">
      <c r="A407" s="1">
        <v>405</v>
      </c>
      <c r="B407" s="1" t="s">
        <v>1500</v>
      </c>
      <c r="C407" s="2" t="s">
        <v>390</v>
      </c>
      <c r="D407" s="1" t="s">
        <v>1058</v>
      </c>
      <c r="E407" s="3" t="s">
        <v>740</v>
      </c>
      <c r="F407" s="1" t="s">
        <v>466</v>
      </c>
      <c r="G407" s="2" t="s">
        <v>1099</v>
      </c>
      <c r="H407" s="1"/>
      <c r="I407" s="1" t="str">
        <f>Table1[[#This Row],[idh]]</f>
        <v>195</v>
      </c>
      <c r="J407" s="1" t="str">
        <f>CONCATENATE("an",Table1[[#This Row],[name]],"_ID")</f>
        <v>anBigPineapple_ID</v>
      </c>
      <c r="K407" s="1" t="str">
        <f>CONCATENATE(Table1[[#This Row],[asm]]," = $",Table1[[#This Row],[idh]])</f>
        <v>anBigPineapple_ID = $195</v>
      </c>
      <c r="L407" s="1" t="str">
        <f>CONCATENATE("animNames.append(""",Table1[[#This Row],[name]],""")")</f>
        <v>animNames.append("BigPineapple")</v>
      </c>
      <c r="M407" s="8" t="str">
        <f>CONCATENATE("reqSprBanks.append(0x",Table1[[#This Row],[imgbank]],")")</f>
        <v>reqSprBanks.append(0x04)</v>
      </c>
    </row>
    <row r="408" spans="1:13" x14ac:dyDescent="0.25">
      <c r="A408" s="1">
        <v>406</v>
      </c>
      <c r="B408" s="1" t="s">
        <v>1501</v>
      </c>
      <c r="C408" s="2" t="s">
        <v>391</v>
      </c>
      <c r="D408" s="1" t="s">
        <v>1059</v>
      </c>
      <c r="E408" s="3" t="s">
        <v>742</v>
      </c>
      <c r="F408" s="1" t="s">
        <v>466</v>
      </c>
      <c r="G408" s="2" t="s">
        <v>1099</v>
      </c>
      <c r="H408" s="1"/>
      <c r="I408" s="1" t="str">
        <f>Table1[[#This Row],[idh]]</f>
        <v>196</v>
      </c>
      <c r="J408" s="1" t="str">
        <f>CONCATENATE("an",Table1[[#This Row],[name]],"_ID")</f>
        <v>anBigHamburger_ID</v>
      </c>
      <c r="K408" s="1" t="str">
        <f>CONCATENATE(Table1[[#This Row],[asm]]," = $",Table1[[#This Row],[idh]])</f>
        <v>anBigHamburger_ID = $196</v>
      </c>
      <c r="L408" s="1" t="str">
        <f>CONCATENATE("animNames.append(""",Table1[[#This Row],[name]],""")")</f>
        <v>animNames.append("BigHamburger")</v>
      </c>
      <c r="M408" s="8" t="str">
        <f>CONCATENATE("reqSprBanks.append(0x",Table1[[#This Row],[imgbank]],")")</f>
        <v>reqSprBanks.append(0x04)</v>
      </c>
    </row>
    <row r="409" spans="1:13" x14ac:dyDescent="0.25">
      <c r="A409" s="1">
        <v>407</v>
      </c>
      <c r="B409" s="1" t="s">
        <v>1502</v>
      </c>
      <c r="C409" s="2" t="s">
        <v>277</v>
      </c>
      <c r="D409" s="4" t="s">
        <v>1526</v>
      </c>
      <c r="E409" s="3" t="s">
        <v>1527</v>
      </c>
      <c r="F409" s="1" t="s">
        <v>466</v>
      </c>
      <c r="G409" s="2" t="s">
        <v>1099</v>
      </c>
      <c r="H409" s="1"/>
      <c r="I409" s="1" t="str">
        <f>Table1[[#This Row],[idh]]</f>
        <v>197</v>
      </c>
      <c r="J409" s="1" t="str">
        <f>CONCATENATE("an",Table1[[#This Row],[name]],"_ID")</f>
        <v>anBigDessert_ID</v>
      </c>
      <c r="K409" s="1" t="str">
        <f>CONCATENATE(Table1[[#This Row],[asm]]," = $",Table1[[#This Row],[idh]])</f>
        <v>anBigDessert_ID = $197</v>
      </c>
      <c r="L409" s="1" t="str">
        <f>CONCATENATE("animNames.append(""",Table1[[#This Row],[name]],""")")</f>
        <v>animNames.append("BigDessert")</v>
      </c>
      <c r="M409" s="8" t="str">
        <f>CONCATENATE("reqSprBanks.append(0x",Table1[[#This Row],[imgbank]],")")</f>
        <v>reqSprBanks.append(0x04)</v>
      </c>
    </row>
    <row r="410" spans="1:13" x14ac:dyDescent="0.25">
      <c r="A410" s="1">
        <v>408</v>
      </c>
      <c r="B410" s="1" t="s">
        <v>1503</v>
      </c>
      <c r="C410" s="2" t="s">
        <v>392</v>
      </c>
      <c r="D410" s="1" t="s">
        <v>1060</v>
      </c>
      <c r="E410" s="3" t="s">
        <v>743</v>
      </c>
      <c r="F410" s="1" t="s">
        <v>466</v>
      </c>
      <c r="G410" s="2" t="s">
        <v>1099</v>
      </c>
      <c r="H410" s="1"/>
      <c r="I410" s="1" t="str">
        <f>Table1[[#This Row],[idh]]</f>
        <v>198</v>
      </c>
      <c r="J410" s="1" t="str">
        <f>CONCATENATE("an",Table1[[#This Row],[name]],"_ID")</f>
        <v>anBigFieldPeas_ID</v>
      </c>
      <c r="K410" s="1" t="str">
        <f>CONCATENATE(Table1[[#This Row],[asm]]," = $",Table1[[#This Row],[idh]])</f>
        <v>anBigFieldPeas_ID = $198</v>
      </c>
      <c r="L410" s="1" t="str">
        <f>CONCATENATE("animNames.append(""",Table1[[#This Row],[name]],""")")</f>
        <v>animNames.append("BigFieldPeas")</v>
      </c>
      <c r="M410" s="8" t="str">
        <f>CONCATENATE("reqSprBanks.append(0x",Table1[[#This Row],[imgbank]],")")</f>
        <v>reqSprBanks.append(0x04)</v>
      </c>
    </row>
    <row r="411" spans="1:13" x14ac:dyDescent="0.25">
      <c r="A411" s="1">
        <v>409</v>
      </c>
      <c r="B411" s="1" t="s">
        <v>1504</v>
      </c>
      <c r="C411" s="2" t="s">
        <v>393</v>
      </c>
      <c r="D411" s="1" t="s">
        <v>1061</v>
      </c>
      <c r="E411" s="3" t="s">
        <v>744</v>
      </c>
      <c r="F411" s="1" t="s">
        <v>459</v>
      </c>
      <c r="G411" s="2" t="s">
        <v>1105</v>
      </c>
      <c r="H411" s="1"/>
      <c r="I411" s="1" t="str">
        <f>Table1[[#This Row],[idh]]</f>
        <v>199</v>
      </c>
      <c r="J411" s="1" t="str">
        <f>CONCATENATE("an",Table1[[#This Row],[name]],"_ID")</f>
        <v>anJudyR_ID</v>
      </c>
      <c r="K411" s="1" t="str">
        <f>CONCATENATE(Table1[[#This Row],[asm]]," = $",Table1[[#This Row],[idh]])</f>
        <v>anJudyR_ID = $199</v>
      </c>
      <c r="L411" s="1" t="str">
        <f>CONCATENATE("animNames.append(""",Table1[[#This Row],[name]],""")")</f>
        <v>animNames.append("JudyR")</v>
      </c>
      <c r="M411" s="8" t="str">
        <f>CONCATENATE("reqSprBanks.append(0x",Table1[[#This Row],[imgbank]],")")</f>
        <v>reqSprBanks.append(0x0A)</v>
      </c>
    </row>
    <row r="412" spans="1:13" x14ac:dyDescent="0.25">
      <c r="A412" s="1">
        <v>410</v>
      </c>
      <c r="B412" s="1" t="s">
        <v>1505</v>
      </c>
      <c r="C412" s="2" t="s">
        <v>278</v>
      </c>
      <c r="D412" s="1" t="s">
        <v>1062</v>
      </c>
      <c r="E412" s="3" t="s">
        <v>745</v>
      </c>
      <c r="F412" s="1" t="s">
        <v>459</v>
      </c>
      <c r="G412" s="2" t="s">
        <v>1105</v>
      </c>
      <c r="H412" s="1"/>
      <c r="I412" s="1" t="str">
        <f>Table1[[#This Row],[idh]]</f>
        <v>19A</v>
      </c>
      <c r="J412" s="1" t="str">
        <f>CONCATENATE("an",Table1[[#This Row],[name]],"_ID")</f>
        <v>anJudyWalkR_ID</v>
      </c>
      <c r="K412" s="1" t="str">
        <f>CONCATENATE(Table1[[#This Row],[asm]]," = $",Table1[[#This Row],[idh]])</f>
        <v>anJudyWalkR_ID = $19A</v>
      </c>
      <c r="L412" s="1" t="str">
        <f>CONCATENATE("animNames.append(""",Table1[[#This Row],[name]],""")")</f>
        <v>animNames.append("JudyWalkR")</v>
      </c>
      <c r="M412" s="8" t="str">
        <f>CONCATENATE("reqSprBanks.append(0x",Table1[[#This Row],[imgbank]],")")</f>
        <v>reqSprBanks.append(0x0A)</v>
      </c>
    </row>
    <row r="413" spans="1:13" x14ac:dyDescent="0.25">
      <c r="E413" s="3"/>
    </row>
    <row r="414" spans="1:13" x14ac:dyDescent="0.25">
      <c r="E414" s="3"/>
    </row>
    <row r="415" spans="1:13" x14ac:dyDescent="0.25">
      <c r="E415" s="3"/>
    </row>
    <row r="416" spans="1:13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  <row r="470" spans="5:5" x14ac:dyDescent="0.25">
      <c r="E470" s="3"/>
    </row>
    <row r="471" spans="5:5" x14ac:dyDescent="0.25">
      <c r="E471" s="3"/>
    </row>
    <row r="472" spans="5:5" x14ac:dyDescent="0.25">
      <c r="E472" s="3"/>
    </row>
    <row r="473" spans="5:5" x14ac:dyDescent="0.25">
      <c r="E473" s="3"/>
    </row>
    <row r="474" spans="5:5" x14ac:dyDescent="0.25">
      <c r="E474" s="3"/>
    </row>
    <row r="475" spans="5:5" x14ac:dyDescent="0.25">
      <c r="E475" s="3"/>
    </row>
    <row r="476" spans="5:5" x14ac:dyDescent="0.25">
      <c r="E476" s="3"/>
    </row>
    <row r="477" spans="5:5" x14ac:dyDescent="0.25">
      <c r="E477" s="3"/>
    </row>
    <row r="478" spans="5:5" x14ac:dyDescent="0.25">
      <c r="E478" s="3"/>
    </row>
    <row r="479" spans="5:5" x14ac:dyDescent="0.25">
      <c r="E479" s="3"/>
    </row>
    <row r="480" spans="5:5" x14ac:dyDescent="0.25">
      <c r="E480" s="3"/>
    </row>
    <row r="481" spans="5:5" x14ac:dyDescent="0.25">
      <c r="E481" s="3"/>
    </row>
    <row r="482" spans="5:5" x14ac:dyDescent="0.25">
      <c r="E482" s="3"/>
    </row>
    <row r="483" spans="5:5" x14ac:dyDescent="0.25">
      <c r="E483" s="3"/>
    </row>
    <row r="484" spans="5:5" x14ac:dyDescent="0.25">
      <c r="E484" s="3"/>
    </row>
    <row r="485" spans="5:5" x14ac:dyDescent="0.25">
      <c r="E485" s="3"/>
    </row>
    <row r="486" spans="5:5" x14ac:dyDescent="0.25">
      <c r="E486" s="3"/>
    </row>
    <row r="487" spans="5:5" x14ac:dyDescent="0.25">
      <c r="E487" s="3"/>
    </row>
    <row r="488" spans="5:5" x14ac:dyDescent="0.25">
      <c r="E488" s="3"/>
    </row>
    <row r="489" spans="5:5" x14ac:dyDescent="0.25">
      <c r="E489" s="3"/>
    </row>
    <row r="490" spans="5:5" x14ac:dyDescent="0.25">
      <c r="E490" s="3"/>
    </row>
    <row r="491" spans="5:5" x14ac:dyDescent="0.25">
      <c r="E491" s="3"/>
    </row>
    <row r="492" spans="5:5" x14ac:dyDescent="0.25">
      <c r="E492" s="3"/>
    </row>
    <row r="493" spans="5:5" x14ac:dyDescent="0.25">
      <c r="E493" s="3"/>
    </row>
    <row r="494" spans="5:5" x14ac:dyDescent="0.25">
      <c r="E494" s="3"/>
    </row>
    <row r="495" spans="5:5" x14ac:dyDescent="0.25">
      <c r="E495" s="3"/>
    </row>
    <row r="496" spans="5:5" x14ac:dyDescent="0.25">
      <c r="E496" s="3"/>
    </row>
    <row r="497" spans="5:5" x14ac:dyDescent="0.25">
      <c r="E497" s="3"/>
    </row>
    <row r="498" spans="5:5" x14ac:dyDescent="0.25">
      <c r="E498" s="3"/>
    </row>
    <row r="499" spans="5:5" x14ac:dyDescent="0.25">
      <c r="E499" s="3"/>
    </row>
    <row r="500" spans="5:5" x14ac:dyDescent="0.25">
      <c r="E500" s="3"/>
    </row>
    <row r="501" spans="5:5" x14ac:dyDescent="0.25">
      <c r="E501" s="3"/>
    </row>
    <row r="502" spans="5:5" x14ac:dyDescent="0.25">
      <c r="E502" s="3"/>
    </row>
    <row r="503" spans="5:5" x14ac:dyDescent="0.25">
      <c r="E503" s="3"/>
    </row>
    <row r="504" spans="5:5" x14ac:dyDescent="0.25">
      <c r="E504" s="3"/>
    </row>
    <row r="505" spans="5:5" x14ac:dyDescent="0.25">
      <c r="E505" s="3"/>
    </row>
    <row r="506" spans="5:5" x14ac:dyDescent="0.25">
      <c r="E506" s="3"/>
    </row>
    <row r="507" spans="5:5" x14ac:dyDescent="0.25">
      <c r="E507" s="3"/>
    </row>
    <row r="508" spans="5:5" x14ac:dyDescent="0.25">
      <c r="E508" s="3"/>
    </row>
    <row r="509" spans="5:5" x14ac:dyDescent="0.25">
      <c r="E509" s="3"/>
    </row>
    <row r="510" spans="5:5" x14ac:dyDescent="0.25">
      <c r="E510" s="3"/>
    </row>
    <row r="511" spans="5:5" x14ac:dyDescent="0.25">
      <c r="E511" s="3"/>
    </row>
    <row r="512" spans="5:5" x14ac:dyDescent="0.25">
      <c r="E512" s="3"/>
    </row>
    <row r="513" spans="5:5" x14ac:dyDescent="0.25">
      <c r="E513" s="3"/>
    </row>
    <row r="514" spans="5:5" x14ac:dyDescent="0.25">
      <c r="E514" s="3"/>
    </row>
    <row r="515" spans="5:5" x14ac:dyDescent="0.25">
      <c r="E515" s="3"/>
    </row>
    <row r="516" spans="5:5" x14ac:dyDescent="0.25">
      <c r="E516" s="3"/>
    </row>
    <row r="517" spans="5:5" x14ac:dyDescent="0.25">
      <c r="E517" s="3"/>
    </row>
    <row r="518" spans="5:5" x14ac:dyDescent="0.25">
      <c r="E518" s="3"/>
    </row>
    <row r="519" spans="5:5" x14ac:dyDescent="0.25">
      <c r="E519" s="3"/>
    </row>
    <row r="520" spans="5:5" x14ac:dyDescent="0.25">
      <c r="E520" s="3"/>
    </row>
    <row r="521" spans="5:5" x14ac:dyDescent="0.25">
      <c r="E521" s="3"/>
    </row>
    <row r="522" spans="5:5" x14ac:dyDescent="0.25">
      <c r="E522" s="3"/>
    </row>
    <row r="523" spans="5:5" x14ac:dyDescent="0.25">
      <c r="E523" s="3"/>
    </row>
    <row r="524" spans="5:5" x14ac:dyDescent="0.25">
      <c r="E524" s="3"/>
    </row>
    <row r="525" spans="5:5" x14ac:dyDescent="0.25">
      <c r="E525" s="3"/>
    </row>
    <row r="526" spans="5:5" x14ac:dyDescent="0.25">
      <c r="E526" s="3"/>
    </row>
    <row r="527" spans="5:5" x14ac:dyDescent="0.25">
      <c r="E527" s="3"/>
    </row>
    <row r="528" spans="5:5" x14ac:dyDescent="0.25">
      <c r="E528" s="3"/>
    </row>
    <row r="529" spans="5:5" x14ac:dyDescent="0.25">
      <c r="E529" s="3"/>
    </row>
    <row r="530" spans="5:5" x14ac:dyDescent="0.25">
      <c r="E530" s="3"/>
    </row>
    <row r="531" spans="5:5" x14ac:dyDescent="0.25">
      <c r="E531" s="3"/>
    </row>
    <row r="532" spans="5:5" x14ac:dyDescent="0.25">
      <c r="E532" s="3"/>
    </row>
    <row r="533" spans="5:5" x14ac:dyDescent="0.25">
      <c r="E533" s="3"/>
    </row>
    <row r="534" spans="5:5" x14ac:dyDescent="0.25">
      <c r="E534" s="3"/>
    </row>
    <row r="535" spans="5:5" x14ac:dyDescent="0.25">
      <c r="E535" s="3"/>
    </row>
    <row r="536" spans="5:5" x14ac:dyDescent="0.25">
      <c r="E536" s="3"/>
    </row>
    <row r="537" spans="5:5" x14ac:dyDescent="0.25">
      <c r="E537" s="3"/>
    </row>
    <row r="538" spans="5:5" x14ac:dyDescent="0.25">
      <c r="E538" s="3"/>
    </row>
    <row r="539" spans="5:5" x14ac:dyDescent="0.25">
      <c r="E539" s="3"/>
    </row>
    <row r="540" spans="5:5" x14ac:dyDescent="0.25">
      <c r="E540" s="3"/>
    </row>
    <row r="541" spans="5:5" x14ac:dyDescent="0.25">
      <c r="E541" s="3"/>
    </row>
    <row r="542" spans="5:5" x14ac:dyDescent="0.25">
      <c r="E542" s="3"/>
    </row>
    <row r="543" spans="5:5" x14ac:dyDescent="0.25">
      <c r="E543" s="3"/>
    </row>
    <row r="544" spans="5:5" x14ac:dyDescent="0.25">
      <c r="E544" s="3"/>
    </row>
    <row r="545" spans="5:5" x14ac:dyDescent="0.25">
      <c r="E545" s="3"/>
    </row>
    <row r="546" spans="5:5" x14ac:dyDescent="0.25">
      <c r="E546" s="3"/>
    </row>
    <row r="547" spans="5:5" x14ac:dyDescent="0.25">
      <c r="E547" s="3"/>
    </row>
    <row r="548" spans="5:5" x14ac:dyDescent="0.25">
      <c r="E548" s="3"/>
    </row>
    <row r="549" spans="5:5" x14ac:dyDescent="0.25">
      <c r="E549" s="3"/>
    </row>
    <row r="550" spans="5:5" x14ac:dyDescent="0.25">
      <c r="E550" s="3"/>
    </row>
    <row r="551" spans="5:5" x14ac:dyDescent="0.25">
      <c r="E551" s="3"/>
    </row>
    <row r="552" spans="5:5" x14ac:dyDescent="0.25">
      <c r="E552" s="3"/>
    </row>
    <row r="553" spans="5:5" x14ac:dyDescent="0.25">
      <c r="E553" s="3"/>
    </row>
    <row r="554" spans="5:5" x14ac:dyDescent="0.25">
      <c r="E554" s="3"/>
    </row>
    <row r="555" spans="5:5" x14ac:dyDescent="0.25">
      <c r="E555" s="3"/>
    </row>
    <row r="556" spans="5:5" x14ac:dyDescent="0.25">
      <c r="E556" s="3"/>
    </row>
    <row r="557" spans="5:5" x14ac:dyDescent="0.25">
      <c r="E557" s="3"/>
    </row>
    <row r="558" spans="5:5" x14ac:dyDescent="0.25">
      <c r="E558" s="3"/>
    </row>
    <row r="559" spans="5:5" x14ac:dyDescent="0.25">
      <c r="E559" s="3"/>
    </row>
    <row r="560" spans="5:5" x14ac:dyDescent="0.25">
      <c r="E560" s="3"/>
    </row>
    <row r="561" spans="5:5" x14ac:dyDescent="0.25">
      <c r="E561" s="3"/>
    </row>
    <row r="562" spans="5:5" x14ac:dyDescent="0.25">
      <c r="E562" s="3"/>
    </row>
    <row r="563" spans="5:5" x14ac:dyDescent="0.25">
      <c r="E563" s="3"/>
    </row>
    <row r="564" spans="5:5" x14ac:dyDescent="0.25">
      <c r="E564" s="3"/>
    </row>
    <row r="565" spans="5:5" x14ac:dyDescent="0.25">
      <c r="E565" s="3"/>
    </row>
    <row r="566" spans="5:5" x14ac:dyDescent="0.25">
      <c r="E566" s="3"/>
    </row>
    <row r="567" spans="5:5" x14ac:dyDescent="0.25">
      <c r="E567" s="3"/>
    </row>
    <row r="568" spans="5:5" x14ac:dyDescent="0.25">
      <c r="E568" s="3"/>
    </row>
    <row r="569" spans="5:5" x14ac:dyDescent="0.25">
      <c r="E569" s="3"/>
    </row>
    <row r="570" spans="5:5" x14ac:dyDescent="0.25">
      <c r="E570" s="3"/>
    </row>
    <row r="571" spans="5:5" x14ac:dyDescent="0.25">
      <c r="E571" s="3"/>
    </row>
    <row r="572" spans="5:5" x14ac:dyDescent="0.25">
      <c r="E572" s="3"/>
    </row>
    <row r="573" spans="5:5" x14ac:dyDescent="0.25">
      <c r="E573" s="3"/>
    </row>
    <row r="574" spans="5:5" x14ac:dyDescent="0.25">
      <c r="E574" s="3"/>
    </row>
    <row r="575" spans="5:5" x14ac:dyDescent="0.25">
      <c r="E575" s="3"/>
    </row>
    <row r="576" spans="5:5" x14ac:dyDescent="0.25">
      <c r="E576" s="3"/>
    </row>
    <row r="577" spans="5:5" x14ac:dyDescent="0.25">
      <c r="E577" s="3"/>
    </row>
    <row r="578" spans="5:5" x14ac:dyDescent="0.25">
      <c r="E578" s="3"/>
    </row>
    <row r="579" spans="5:5" x14ac:dyDescent="0.25">
      <c r="E579" s="3"/>
    </row>
    <row r="580" spans="5:5" x14ac:dyDescent="0.25">
      <c r="E580" s="3"/>
    </row>
    <row r="581" spans="5:5" x14ac:dyDescent="0.25">
      <c r="E581" s="3"/>
    </row>
    <row r="582" spans="5:5" x14ac:dyDescent="0.25">
      <c r="E582" s="3"/>
    </row>
    <row r="583" spans="5:5" x14ac:dyDescent="0.25">
      <c r="E583" s="3"/>
    </row>
    <row r="584" spans="5:5" x14ac:dyDescent="0.25">
      <c r="E584" s="3"/>
    </row>
    <row r="585" spans="5:5" x14ac:dyDescent="0.25">
      <c r="E585" s="3"/>
    </row>
    <row r="586" spans="5:5" x14ac:dyDescent="0.25">
      <c r="E586" s="3"/>
    </row>
    <row r="587" spans="5:5" x14ac:dyDescent="0.25">
      <c r="E587" s="3"/>
    </row>
    <row r="588" spans="5:5" x14ac:dyDescent="0.25">
      <c r="E588" s="3"/>
    </row>
    <row r="589" spans="5:5" x14ac:dyDescent="0.25">
      <c r="E589" s="3"/>
    </row>
    <row r="590" spans="5:5" x14ac:dyDescent="0.25">
      <c r="E590" s="3"/>
    </row>
    <row r="591" spans="5:5" x14ac:dyDescent="0.25">
      <c r="E591" s="3"/>
    </row>
    <row r="592" spans="5:5" x14ac:dyDescent="0.25">
      <c r="E592" s="3"/>
    </row>
    <row r="593" spans="5:5" x14ac:dyDescent="0.25">
      <c r="E593" s="3"/>
    </row>
    <row r="594" spans="5:5" x14ac:dyDescent="0.25">
      <c r="E594" s="3"/>
    </row>
    <row r="595" spans="5:5" x14ac:dyDescent="0.25">
      <c r="E595" s="3"/>
    </row>
    <row r="596" spans="5:5" x14ac:dyDescent="0.25">
      <c r="E596" s="3"/>
    </row>
    <row r="597" spans="5:5" x14ac:dyDescent="0.25">
      <c r="E597" s="3"/>
    </row>
    <row r="598" spans="5:5" x14ac:dyDescent="0.25">
      <c r="E598" s="3"/>
    </row>
    <row r="599" spans="5:5" x14ac:dyDescent="0.25">
      <c r="E599" s="3"/>
    </row>
    <row r="600" spans="5:5" x14ac:dyDescent="0.25">
      <c r="E600" s="3"/>
    </row>
    <row r="601" spans="5:5" x14ac:dyDescent="0.25">
      <c r="E601" s="3"/>
    </row>
    <row r="602" spans="5:5" x14ac:dyDescent="0.25">
      <c r="E602" s="3"/>
    </row>
    <row r="603" spans="5:5" x14ac:dyDescent="0.25">
      <c r="E603" s="3"/>
    </row>
    <row r="604" spans="5:5" x14ac:dyDescent="0.25">
      <c r="E604" s="3"/>
    </row>
    <row r="605" spans="5:5" x14ac:dyDescent="0.25">
      <c r="E605" s="3"/>
    </row>
    <row r="606" spans="5:5" x14ac:dyDescent="0.25">
      <c r="E606" s="3"/>
    </row>
    <row r="607" spans="5:5" x14ac:dyDescent="0.25">
      <c r="E607" s="3"/>
    </row>
    <row r="608" spans="5:5" x14ac:dyDescent="0.25">
      <c r="E608" s="3"/>
    </row>
    <row r="609" spans="5:5" x14ac:dyDescent="0.25">
      <c r="E609" s="3"/>
    </row>
    <row r="610" spans="5:5" x14ac:dyDescent="0.25">
      <c r="E610" s="3"/>
    </row>
    <row r="611" spans="5:5" x14ac:dyDescent="0.25">
      <c r="E611" s="3"/>
    </row>
    <row r="612" spans="5:5" x14ac:dyDescent="0.25">
      <c r="E612" s="3"/>
    </row>
    <row r="613" spans="5:5" x14ac:dyDescent="0.25">
      <c r="E613" s="3"/>
    </row>
    <row r="614" spans="5:5" x14ac:dyDescent="0.25">
      <c r="E614" s="3"/>
    </row>
    <row r="615" spans="5:5" x14ac:dyDescent="0.25">
      <c r="E615" s="3"/>
    </row>
    <row r="616" spans="5:5" x14ac:dyDescent="0.25">
      <c r="E616" s="3"/>
    </row>
    <row r="617" spans="5:5" x14ac:dyDescent="0.25">
      <c r="E617" s="3"/>
    </row>
    <row r="618" spans="5:5" x14ac:dyDescent="0.25">
      <c r="E618" s="3"/>
    </row>
    <row r="619" spans="5:5" x14ac:dyDescent="0.25">
      <c r="E619" s="3"/>
    </row>
    <row r="620" spans="5:5" x14ac:dyDescent="0.25">
      <c r="E620" s="3"/>
    </row>
    <row r="621" spans="5:5" x14ac:dyDescent="0.25">
      <c r="E621" s="3"/>
    </row>
    <row r="622" spans="5:5" x14ac:dyDescent="0.25">
      <c r="E622" s="3"/>
    </row>
    <row r="623" spans="5:5" x14ac:dyDescent="0.25">
      <c r="E623" s="3"/>
    </row>
    <row r="624" spans="5:5" x14ac:dyDescent="0.25">
      <c r="E624" s="3"/>
    </row>
    <row r="625" spans="5:5" x14ac:dyDescent="0.25">
      <c r="E625" s="3"/>
    </row>
    <row r="626" spans="5:5" x14ac:dyDescent="0.25">
      <c r="E626" s="3"/>
    </row>
    <row r="627" spans="5:5" x14ac:dyDescent="0.25">
      <c r="E627" s="3"/>
    </row>
    <row r="628" spans="5:5" x14ac:dyDescent="0.25">
      <c r="E628" s="3"/>
    </row>
    <row r="629" spans="5:5" x14ac:dyDescent="0.25">
      <c r="E629" s="3"/>
    </row>
    <row r="630" spans="5:5" x14ac:dyDescent="0.25">
      <c r="E630" s="3"/>
    </row>
    <row r="631" spans="5:5" x14ac:dyDescent="0.25">
      <c r="E631" s="3"/>
    </row>
    <row r="632" spans="5:5" x14ac:dyDescent="0.25">
      <c r="E632" s="3"/>
    </row>
    <row r="633" spans="5:5" x14ac:dyDescent="0.25">
      <c r="E633" s="3"/>
    </row>
    <row r="634" spans="5:5" x14ac:dyDescent="0.25">
      <c r="E634" s="3"/>
    </row>
    <row r="635" spans="5:5" x14ac:dyDescent="0.25">
      <c r="E635" s="3"/>
    </row>
    <row r="636" spans="5:5" x14ac:dyDescent="0.25">
      <c r="E636" s="3"/>
    </row>
    <row r="637" spans="5:5" x14ac:dyDescent="0.25">
      <c r="E637" s="3"/>
    </row>
    <row r="638" spans="5:5" x14ac:dyDescent="0.25">
      <c r="E638" s="3"/>
    </row>
    <row r="639" spans="5:5" x14ac:dyDescent="0.25">
      <c r="E639" s="3"/>
    </row>
    <row r="640" spans="5:5" x14ac:dyDescent="0.25">
      <c r="E640" s="3"/>
    </row>
    <row r="641" spans="5:5" x14ac:dyDescent="0.25">
      <c r="E641" s="3"/>
    </row>
    <row r="642" spans="5:5" x14ac:dyDescent="0.25">
      <c r="E642" s="3"/>
    </row>
    <row r="643" spans="5:5" x14ac:dyDescent="0.25">
      <c r="E643" s="3"/>
    </row>
    <row r="644" spans="5:5" x14ac:dyDescent="0.25">
      <c r="E644" s="3"/>
    </row>
    <row r="645" spans="5:5" x14ac:dyDescent="0.25">
      <c r="E645" s="3"/>
    </row>
    <row r="646" spans="5:5" x14ac:dyDescent="0.25">
      <c r="E646" s="3"/>
    </row>
    <row r="647" spans="5:5" x14ac:dyDescent="0.25">
      <c r="E647" s="3"/>
    </row>
    <row r="648" spans="5:5" x14ac:dyDescent="0.25">
      <c r="E648" s="3"/>
    </row>
    <row r="649" spans="5:5" x14ac:dyDescent="0.25">
      <c r="E649" s="3"/>
    </row>
    <row r="650" spans="5:5" x14ac:dyDescent="0.25">
      <c r="E650" s="3"/>
    </row>
    <row r="651" spans="5:5" x14ac:dyDescent="0.25">
      <c r="E651" s="3"/>
    </row>
    <row r="652" spans="5:5" x14ac:dyDescent="0.25">
      <c r="E652" s="3"/>
    </row>
    <row r="653" spans="5:5" x14ac:dyDescent="0.25">
      <c r="E653" s="3"/>
    </row>
    <row r="654" spans="5:5" x14ac:dyDescent="0.25">
      <c r="E654" s="3"/>
    </row>
    <row r="655" spans="5:5" x14ac:dyDescent="0.25">
      <c r="E655" s="3"/>
    </row>
    <row r="656" spans="5:5" x14ac:dyDescent="0.25">
      <c r="E656" s="3"/>
    </row>
    <row r="657" spans="5:5" x14ac:dyDescent="0.25">
      <c r="E657" s="3"/>
    </row>
    <row r="658" spans="5:5" x14ac:dyDescent="0.25">
      <c r="E658" s="3"/>
    </row>
    <row r="659" spans="5:5" x14ac:dyDescent="0.25">
      <c r="E659" s="3"/>
    </row>
    <row r="660" spans="5:5" x14ac:dyDescent="0.25">
      <c r="E660" s="3"/>
    </row>
    <row r="661" spans="5:5" x14ac:dyDescent="0.25">
      <c r="E661" s="3"/>
    </row>
    <row r="662" spans="5:5" x14ac:dyDescent="0.25">
      <c r="E662" s="3"/>
    </row>
    <row r="663" spans="5:5" x14ac:dyDescent="0.25">
      <c r="E663" s="3"/>
    </row>
    <row r="664" spans="5:5" x14ac:dyDescent="0.25">
      <c r="E664" s="3"/>
    </row>
    <row r="665" spans="5:5" x14ac:dyDescent="0.25">
      <c r="E665" s="3"/>
    </row>
    <row r="666" spans="5:5" x14ac:dyDescent="0.25">
      <c r="E666" s="3"/>
    </row>
    <row r="667" spans="5:5" x14ac:dyDescent="0.25">
      <c r="E667" s="3"/>
    </row>
    <row r="668" spans="5:5" x14ac:dyDescent="0.25">
      <c r="E668" s="3"/>
    </row>
    <row r="669" spans="5:5" x14ac:dyDescent="0.25">
      <c r="E669" s="3"/>
    </row>
    <row r="670" spans="5:5" x14ac:dyDescent="0.25">
      <c r="E670" s="3"/>
    </row>
    <row r="671" spans="5:5" x14ac:dyDescent="0.25">
      <c r="E671" s="3"/>
    </row>
    <row r="672" spans="5:5" x14ac:dyDescent="0.25">
      <c r="E672" s="3"/>
    </row>
    <row r="673" spans="5:5" x14ac:dyDescent="0.25">
      <c r="E673" s="3"/>
    </row>
    <row r="674" spans="5:5" x14ac:dyDescent="0.25">
      <c r="E674" s="3"/>
    </row>
    <row r="675" spans="5:5" x14ac:dyDescent="0.25">
      <c r="E675" s="3"/>
    </row>
    <row r="676" spans="5:5" x14ac:dyDescent="0.25">
      <c r="E676" s="3"/>
    </row>
    <row r="677" spans="5:5" x14ac:dyDescent="0.25">
      <c r="E677" s="3"/>
    </row>
    <row r="678" spans="5:5" x14ac:dyDescent="0.25">
      <c r="E678" s="3"/>
    </row>
    <row r="679" spans="5:5" x14ac:dyDescent="0.25">
      <c r="E679" s="3"/>
    </row>
    <row r="680" spans="5:5" x14ac:dyDescent="0.25">
      <c r="E680" s="3"/>
    </row>
    <row r="681" spans="5:5" x14ac:dyDescent="0.25">
      <c r="E681" s="3"/>
    </row>
    <row r="682" spans="5:5" x14ac:dyDescent="0.25">
      <c r="E682" s="3"/>
    </row>
    <row r="683" spans="5:5" x14ac:dyDescent="0.25">
      <c r="E683" s="3"/>
    </row>
    <row r="684" spans="5:5" x14ac:dyDescent="0.25">
      <c r="E684" s="3"/>
    </row>
    <row r="685" spans="5:5" x14ac:dyDescent="0.25">
      <c r="E685" s="3"/>
    </row>
    <row r="686" spans="5:5" x14ac:dyDescent="0.25">
      <c r="E686" s="3"/>
    </row>
    <row r="687" spans="5:5" x14ac:dyDescent="0.25">
      <c r="E687" s="3"/>
    </row>
    <row r="688" spans="5:5" x14ac:dyDescent="0.25">
      <c r="E688" s="3"/>
    </row>
    <row r="689" spans="5:5" x14ac:dyDescent="0.25">
      <c r="E689" s="3"/>
    </row>
    <row r="690" spans="5:5" x14ac:dyDescent="0.25">
      <c r="E690" s="3"/>
    </row>
    <row r="691" spans="5:5" x14ac:dyDescent="0.25">
      <c r="E691" s="3"/>
    </row>
    <row r="692" spans="5:5" x14ac:dyDescent="0.25">
      <c r="E692" s="3"/>
    </row>
    <row r="693" spans="5:5" x14ac:dyDescent="0.25">
      <c r="E693" s="3"/>
    </row>
    <row r="694" spans="5:5" x14ac:dyDescent="0.25">
      <c r="E694" s="3"/>
    </row>
    <row r="695" spans="5:5" x14ac:dyDescent="0.25">
      <c r="E695" s="3"/>
    </row>
    <row r="696" spans="5:5" x14ac:dyDescent="0.25">
      <c r="E696" s="3"/>
    </row>
    <row r="697" spans="5:5" x14ac:dyDescent="0.25">
      <c r="E697" s="3"/>
    </row>
    <row r="698" spans="5:5" x14ac:dyDescent="0.25">
      <c r="E698" s="3"/>
    </row>
    <row r="699" spans="5:5" x14ac:dyDescent="0.25">
      <c r="E699" s="3"/>
    </row>
    <row r="700" spans="5:5" x14ac:dyDescent="0.25">
      <c r="E700" s="3"/>
    </row>
    <row r="701" spans="5:5" x14ac:dyDescent="0.25">
      <c r="E701" s="3"/>
    </row>
    <row r="702" spans="5:5" x14ac:dyDescent="0.25">
      <c r="E702" s="3"/>
    </row>
    <row r="703" spans="5:5" x14ac:dyDescent="0.25">
      <c r="E703" s="3"/>
    </row>
    <row r="704" spans="5:5" x14ac:dyDescent="0.25">
      <c r="E704" s="3"/>
    </row>
    <row r="705" spans="5:5" x14ac:dyDescent="0.25">
      <c r="E705" s="3"/>
    </row>
    <row r="706" spans="5:5" x14ac:dyDescent="0.25">
      <c r="E706" s="3"/>
    </row>
    <row r="707" spans="5:5" x14ac:dyDescent="0.25">
      <c r="E707" s="3"/>
    </row>
    <row r="708" spans="5:5" x14ac:dyDescent="0.25">
      <c r="E708" s="3"/>
    </row>
    <row r="709" spans="5:5" x14ac:dyDescent="0.25">
      <c r="E709" s="3"/>
    </row>
    <row r="710" spans="5:5" x14ac:dyDescent="0.25">
      <c r="E710" s="3"/>
    </row>
    <row r="711" spans="5:5" x14ac:dyDescent="0.25">
      <c r="E711" s="3"/>
    </row>
    <row r="712" spans="5:5" x14ac:dyDescent="0.25">
      <c r="E712" s="3"/>
    </row>
    <row r="713" spans="5:5" x14ac:dyDescent="0.25">
      <c r="E713" s="3"/>
    </row>
    <row r="714" spans="5:5" x14ac:dyDescent="0.25">
      <c r="E714" s="3"/>
    </row>
    <row r="715" spans="5:5" x14ac:dyDescent="0.25">
      <c r="E715" s="3"/>
    </row>
    <row r="716" spans="5:5" x14ac:dyDescent="0.25">
      <c r="E716" s="3"/>
    </row>
    <row r="717" spans="5:5" x14ac:dyDescent="0.25">
      <c r="E717" s="3"/>
    </row>
    <row r="718" spans="5:5" x14ac:dyDescent="0.25">
      <c r="E718" s="3"/>
    </row>
    <row r="719" spans="5:5" x14ac:dyDescent="0.25">
      <c r="E719" s="3"/>
    </row>
    <row r="720" spans="5:5" x14ac:dyDescent="0.25">
      <c r="E720" s="3"/>
    </row>
    <row r="721" spans="5:5" x14ac:dyDescent="0.25">
      <c r="E721" s="3"/>
    </row>
    <row r="722" spans="5:5" x14ac:dyDescent="0.25">
      <c r="E722" s="3"/>
    </row>
    <row r="723" spans="5:5" x14ac:dyDescent="0.25">
      <c r="E723" s="3"/>
    </row>
    <row r="724" spans="5:5" x14ac:dyDescent="0.25">
      <c r="E724" s="3"/>
    </row>
    <row r="725" spans="5:5" x14ac:dyDescent="0.25">
      <c r="E725" s="3"/>
    </row>
    <row r="726" spans="5:5" x14ac:dyDescent="0.25">
      <c r="E726" s="3"/>
    </row>
    <row r="727" spans="5:5" x14ac:dyDescent="0.25">
      <c r="E727" s="3"/>
    </row>
    <row r="728" spans="5:5" x14ac:dyDescent="0.25">
      <c r="E728" s="3"/>
    </row>
    <row r="729" spans="5:5" x14ac:dyDescent="0.25">
      <c r="E729" s="3"/>
    </row>
    <row r="730" spans="5:5" x14ac:dyDescent="0.25">
      <c r="E730" s="3"/>
    </row>
    <row r="731" spans="5:5" x14ac:dyDescent="0.25">
      <c r="E731" s="3"/>
    </row>
    <row r="732" spans="5:5" x14ac:dyDescent="0.25">
      <c r="E732" s="3"/>
    </row>
    <row r="733" spans="5:5" x14ac:dyDescent="0.25">
      <c r="E733" s="3"/>
    </row>
    <row r="734" spans="5:5" x14ac:dyDescent="0.25">
      <c r="E734" s="3"/>
    </row>
    <row r="735" spans="5:5" x14ac:dyDescent="0.25">
      <c r="E735" s="3"/>
    </row>
    <row r="736" spans="5:5" x14ac:dyDescent="0.25">
      <c r="E736" s="3"/>
    </row>
    <row r="737" spans="5:5" x14ac:dyDescent="0.25">
      <c r="E737" s="3"/>
    </row>
    <row r="738" spans="5:5" x14ac:dyDescent="0.25">
      <c r="E738" s="3"/>
    </row>
    <row r="739" spans="5:5" x14ac:dyDescent="0.25">
      <c r="E739" s="3"/>
    </row>
    <row r="740" spans="5:5" x14ac:dyDescent="0.25">
      <c r="E740" s="3"/>
    </row>
    <row r="741" spans="5:5" x14ac:dyDescent="0.25">
      <c r="E741" s="3"/>
    </row>
    <row r="742" spans="5:5" x14ac:dyDescent="0.25">
      <c r="E742" s="3"/>
    </row>
    <row r="743" spans="5:5" x14ac:dyDescent="0.25">
      <c r="E743" s="3"/>
    </row>
    <row r="744" spans="5:5" x14ac:dyDescent="0.25">
      <c r="E744" s="3"/>
    </row>
    <row r="745" spans="5:5" x14ac:dyDescent="0.25">
      <c r="E745" s="3"/>
    </row>
    <row r="746" spans="5:5" x14ac:dyDescent="0.25">
      <c r="E746" s="3"/>
    </row>
    <row r="747" spans="5:5" x14ac:dyDescent="0.25">
      <c r="E747" s="3"/>
    </row>
    <row r="748" spans="5:5" x14ac:dyDescent="0.25">
      <c r="E748" s="3"/>
    </row>
    <row r="749" spans="5:5" x14ac:dyDescent="0.25">
      <c r="E749" s="3"/>
    </row>
    <row r="750" spans="5:5" x14ac:dyDescent="0.25">
      <c r="E750" s="3"/>
    </row>
    <row r="751" spans="5:5" x14ac:dyDescent="0.25">
      <c r="E751" s="3"/>
    </row>
    <row r="752" spans="5:5" x14ac:dyDescent="0.25">
      <c r="E752" s="3"/>
    </row>
    <row r="753" spans="5:5" x14ac:dyDescent="0.25">
      <c r="E753" s="3"/>
    </row>
    <row r="754" spans="5:5" x14ac:dyDescent="0.25">
      <c r="E754" s="3"/>
    </row>
    <row r="755" spans="5:5" x14ac:dyDescent="0.25">
      <c r="E755" s="3"/>
    </row>
    <row r="756" spans="5:5" x14ac:dyDescent="0.25">
      <c r="E756" s="3"/>
    </row>
    <row r="757" spans="5:5" x14ac:dyDescent="0.25">
      <c r="E757" s="3"/>
    </row>
    <row r="758" spans="5:5" x14ac:dyDescent="0.25">
      <c r="E758" s="3"/>
    </row>
    <row r="759" spans="5:5" x14ac:dyDescent="0.25">
      <c r="E759" s="3"/>
    </row>
    <row r="760" spans="5:5" x14ac:dyDescent="0.25">
      <c r="E760" s="3"/>
    </row>
    <row r="761" spans="5:5" x14ac:dyDescent="0.25">
      <c r="E761" s="3"/>
    </row>
    <row r="762" spans="5:5" x14ac:dyDescent="0.25">
      <c r="E762" s="3"/>
    </row>
    <row r="763" spans="5:5" x14ac:dyDescent="0.25">
      <c r="E763" s="3"/>
    </row>
    <row r="764" spans="5:5" x14ac:dyDescent="0.25">
      <c r="E764" s="3"/>
    </row>
    <row r="765" spans="5:5" x14ac:dyDescent="0.25">
      <c r="E765" s="3"/>
    </row>
    <row r="766" spans="5:5" x14ac:dyDescent="0.25">
      <c r="E766" s="3"/>
    </row>
    <row r="767" spans="5:5" x14ac:dyDescent="0.25">
      <c r="E767" s="3"/>
    </row>
    <row r="768" spans="5:5" x14ac:dyDescent="0.25">
      <c r="E768" s="3"/>
    </row>
    <row r="769" spans="5:5" x14ac:dyDescent="0.25">
      <c r="E769" s="3"/>
    </row>
    <row r="770" spans="5:5" x14ac:dyDescent="0.25">
      <c r="E770" s="3"/>
    </row>
    <row r="771" spans="5:5" x14ac:dyDescent="0.25">
      <c r="E771" s="3"/>
    </row>
    <row r="772" spans="5:5" x14ac:dyDescent="0.25">
      <c r="E772" s="3"/>
    </row>
    <row r="773" spans="5:5" x14ac:dyDescent="0.25">
      <c r="E773" s="3"/>
    </row>
    <row r="774" spans="5:5" x14ac:dyDescent="0.25">
      <c r="E774" s="3"/>
    </row>
    <row r="775" spans="5:5" x14ac:dyDescent="0.25">
      <c r="E775" s="3"/>
    </row>
    <row r="776" spans="5:5" x14ac:dyDescent="0.25">
      <c r="E776" s="3"/>
    </row>
    <row r="777" spans="5:5" x14ac:dyDescent="0.25">
      <c r="E777" s="3"/>
    </row>
    <row r="778" spans="5:5" x14ac:dyDescent="0.25">
      <c r="E778" s="3"/>
    </row>
    <row r="779" spans="5:5" x14ac:dyDescent="0.25">
      <c r="E779" s="3"/>
    </row>
    <row r="780" spans="5:5" x14ac:dyDescent="0.25">
      <c r="E780" s="3"/>
    </row>
    <row r="781" spans="5:5" x14ac:dyDescent="0.25">
      <c r="E781" s="3"/>
    </row>
    <row r="782" spans="5:5" x14ac:dyDescent="0.25">
      <c r="E782" s="3"/>
    </row>
    <row r="783" spans="5:5" x14ac:dyDescent="0.25">
      <c r="E783" s="3"/>
    </row>
    <row r="784" spans="5:5" x14ac:dyDescent="0.25">
      <c r="E784" s="3"/>
    </row>
    <row r="785" spans="5:5" x14ac:dyDescent="0.25">
      <c r="E785" s="3"/>
    </row>
    <row r="786" spans="5:5" x14ac:dyDescent="0.25">
      <c r="E786" s="3"/>
    </row>
    <row r="787" spans="5:5" x14ac:dyDescent="0.25">
      <c r="E787" s="3"/>
    </row>
    <row r="788" spans="5:5" x14ac:dyDescent="0.25">
      <c r="E788" s="3"/>
    </row>
    <row r="789" spans="5:5" x14ac:dyDescent="0.25">
      <c r="E789" s="3"/>
    </row>
    <row r="790" spans="5:5" x14ac:dyDescent="0.25">
      <c r="E790" s="3"/>
    </row>
    <row r="791" spans="5:5" x14ac:dyDescent="0.25">
      <c r="E791" s="3"/>
    </row>
    <row r="792" spans="5:5" x14ac:dyDescent="0.25">
      <c r="E792" s="3"/>
    </row>
    <row r="793" spans="5:5" x14ac:dyDescent="0.25">
      <c r="E793" s="3"/>
    </row>
    <row r="794" spans="5:5" x14ac:dyDescent="0.25">
      <c r="E794" s="3"/>
    </row>
    <row r="795" spans="5:5" x14ac:dyDescent="0.25">
      <c r="E795" s="3"/>
    </row>
    <row r="796" spans="5:5" x14ac:dyDescent="0.25">
      <c r="E796" s="3"/>
    </row>
    <row r="797" spans="5:5" x14ac:dyDescent="0.25">
      <c r="E797" s="3"/>
    </row>
    <row r="798" spans="5:5" x14ac:dyDescent="0.25">
      <c r="E798" s="3"/>
    </row>
    <row r="799" spans="5:5" x14ac:dyDescent="0.25">
      <c r="E799" s="3"/>
    </row>
    <row r="800" spans="5:5" x14ac:dyDescent="0.25">
      <c r="E800" s="3"/>
    </row>
    <row r="801" spans="5:5" x14ac:dyDescent="0.25">
      <c r="E801" s="3"/>
    </row>
    <row r="802" spans="5:5" x14ac:dyDescent="0.25">
      <c r="E802" s="3"/>
    </row>
    <row r="803" spans="5:5" x14ac:dyDescent="0.25">
      <c r="E803" s="3"/>
    </row>
    <row r="804" spans="5:5" x14ac:dyDescent="0.25">
      <c r="E804" s="3"/>
    </row>
    <row r="805" spans="5:5" x14ac:dyDescent="0.25">
      <c r="E805" s="3"/>
    </row>
    <row r="806" spans="5:5" x14ac:dyDescent="0.25">
      <c r="E806" s="3"/>
    </row>
    <row r="807" spans="5:5" x14ac:dyDescent="0.25">
      <c r="E807" s="3"/>
    </row>
    <row r="808" spans="5:5" x14ac:dyDescent="0.25">
      <c r="E808" s="3"/>
    </row>
    <row r="809" spans="5:5" x14ac:dyDescent="0.25">
      <c r="E809" s="3"/>
    </row>
    <row r="810" spans="5:5" x14ac:dyDescent="0.25">
      <c r="E810" s="3"/>
    </row>
    <row r="811" spans="5:5" x14ac:dyDescent="0.25">
      <c r="E811" s="3"/>
    </row>
    <row r="812" spans="5:5" x14ac:dyDescent="0.25">
      <c r="E812" s="3"/>
    </row>
    <row r="813" spans="5:5" x14ac:dyDescent="0.25">
      <c r="E813" s="3"/>
    </row>
    <row r="814" spans="5:5" x14ac:dyDescent="0.25">
      <c r="E814" s="3"/>
    </row>
    <row r="815" spans="5:5" x14ac:dyDescent="0.25">
      <c r="E815" s="3"/>
    </row>
    <row r="816" spans="5:5" x14ac:dyDescent="0.25">
      <c r="E816" s="3"/>
    </row>
    <row r="817" spans="5:5" x14ac:dyDescent="0.25">
      <c r="E817" s="3"/>
    </row>
    <row r="818" spans="5:5" x14ac:dyDescent="0.25">
      <c r="E818" s="3"/>
    </row>
    <row r="819" spans="5:5" x14ac:dyDescent="0.25">
      <c r="E819" s="3"/>
    </row>
    <row r="820" spans="5:5" x14ac:dyDescent="0.25">
      <c r="E820" s="3"/>
    </row>
    <row r="821" spans="5:5" x14ac:dyDescent="0.25">
      <c r="E821" s="3"/>
    </row>
    <row r="822" spans="5:5" x14ac:dyDescent="0.25">
      <c r="E822" s="3"/>
    </row>
    <row r="823" spans="5:5" x14ac:dyDescent="0.25">
      <c r="E823" s="3"/>
    </row>
    <row r="824" spans="5:5" x14ac:dyDescent="0.25">
      <c r="E824" s="3"/>
    </row>
    <row r="825" spans="5:5" x14ac:dyDescent="0.25">
      <c r="E825" s="3"/>
    </row>
    <row r="826" spans="5:5" x14ac:dyDescent="0.25">
      <c r="E826" s="3"/>
    </row>
    <row r="827" spans="5:5" x14ac:dyDescent="0.25">
      <c r="E827" s="3"/>
    </row>
    <row r="828" spans="5:5" x14ac:dyDescent="0.25">
      <c r="E828" s="3"/>
    </row>
    <row r="829" spans="5:5" x14ac:dyDescent="0.25">
      <c r="E829" s="3"/>
    </row>
    <row r="830" spans="5:5" x14ac:dyDescent="0.25">
      <c r="E830" s="3"/>
    </row>
    <row r="831" spans="5:5" x14ac:dyDescent="0.25">
      <c r="E831" s="3"/>
    </row>
    <row r="832" spans="5:5" x14ac:dyDescent="0.25">
      <c r="E832" s="3"/>
    </row>
    <row r="833" spans="5:5" x14ac:dyDescent="0.25">
      <c r="E833" s="3"/>
    </row>
    <row r="834" spans="5:5" x14ac:dyDescent="0.25">
      <c r="E834" s="3"/>
    </row>
    <row r="835" spans="5:5" x14ac:dyDescent="0.25">
      <c r="E835" s="3"/>
    </row>
    <row r="836" spans="5:5" x14ac:dyDescent="0.25">
      <c r="E836" s="3"/>
    </row>
    <row r="837" spans="5:5" x14ac:dyDescent="0.25">
      <c r="E837" s="3"/>
    </row>
    <row r="838" spans="5:5" x14ac:dyDescent="0.25">
      <c r="E838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5"/>
  <sheetViews>
    <sheetView topLeftCell="A57" workbookViewId="0">
      <selection activeCell="F71" sqref="F71"/>
    </sheetView>
  </sheetViews>
  <sheetFormatPr defaultRowHeight="15" x14ac:dyDescent="0.25"/>
  <cols>
    <col min="3" max="3" width="9.28515625" customWidth="1"/>
    <col min="5" max="5" width="19.42578125" customWidth="1"/>
    <col min="6" max="7" width="28.7109375" customWidth="1"/>
    <col min="8" max="8" width="31.28515625" customWidth="1"/>
  </cols>
  <sheetData>
    <row r="1" spans="1:8" x14ac:dyDescent="0.25">
      <c r="A1" s="1" t="s">
        <v>1586</v>
      </c>
      <c r="B1" s="1" t="s">
        <v>1584</v>
      </c>
      <c r="C1" s="1" t="s">
        <v>1585</v>
      </c>
      <c r="D1" s="1" t="s">
        <v>394</v>
      </c>
      <c r="E1" s="1" t="s">
        <v>397</v>
      </c>
      <c r="F1" s="1" t="s">
        <v>398</v>
      </c>
      <c r="G1" s="1" t="s">
        <v>899</v>
      </c>
      <c r="H1" s="1" t="s">
        <v>1065</v>
      </c>
    </row>
    <row r="2" spans="1:8" x14ac:dyDescent="0.25">
      <c r="A2" s="7" t="s">
        <v>1099</v>
      </c>
      <c r="B2" s="5">
        <f>ROW()-2</f>
        <v>0</v>
      </c>
      <c r="C2" s="6" t="str">
        <f>DEC2HEX(Table3[[#This Row],[num]]*2,4)</f>
        <v>0000</v>
      </c>
      <c r="D2" s="7" t="s">
        <v>2045</v>
      </c>
      <c r="E2" s="7" t="s">
        <v>399</v>
      </c>
      <c r="F2" s="6"/>
      <c r="G2" s="12"/>
      <c r="H2" s="4" t="str">
        <f>CONCATENATE("img",Table3[[#This Row],[name]],"_ofs = $",Table3[[#This Row],[ofs]])</f>
        <v>imgDummy_ofs = $0000</v>
      </c>
    </row>
    <row r="3" spans="1:8" x14ac:dyDescent="0.25">
      <c r="A3" s="7" t="s">
        <v>1099</v>
      </c>
      <c r="B3" s="5">
        <f>ROW()-2</f>
        <v>1</v>
      </c>
      <c r="C3" s="6" t="str">
        <f>DEC2HEX(Table3[[#This Row],[num]]*2,4)</f>
        <v>0002</v>
      </c>
      <c r="D3" s="7" t="s">
        <v>2046</v>
      </c>
      <c r="E3" s="7" t="s">
        <v>746</v>
      </c>
      <c r="F3" s="6"/>
      <c r="G3" s="12"/>
      <c r="H3" s="4" t="str">
        <f>CONCATENATE("img",Table3[[#This Row],[name]],"_ofs = $",Table3[[#This Row],[ofs]])</f>
        <v>imgPlayerL_ofs = $0002</v>
      </c>
    </row>
    <row r="4" spans="1:8" x14ac:dyDescent="0.25">
      <c r="A4" s="7" t="s">
        <v>1099</v>
      </c>
      <c r="B4" s="5">
        <f>ROW()-2</f>
        <v>2</v>
      </c>
      <c r="C4" s="6" t="str">
        <f>DEC2HEX(Table3[[#This Row],[num]]*2,4)</f>
        <v>0004</v>
      </c>
      <c r="D4" s="7" t="s">
        <v>2047</v>
      </c>
      <c r="E4" s="7" t="s">
        <v>1591</v>
      </c>
      <c r="F4" s="6"/>
      <c r="G4" s="12"/>
      <c r="H4" s="4" t="str">
        <f>CONCATENATE("img",Table3[[#This Row],[name]],"_ofs = $",Table3[[#This Row],[ofs]])</f>
        <v>imgPlayerJumpL_0_ofs = $0004</v>
      </c>
    </row>
    <row r="5" spans="1:8" x14ac:dyDescent="0.25">
      <c r="A5" s="7" t="s">
        <v>1099</v>
      </c>
      <c r="B5" s="5">
        <f>ROW()-2</f>
        <v>3</v>
      </c>
      <c r="C5" s="9" t="str">
        <f>DEC2HEX(Table3[[#This Row],[num]]*2,4)</f>
        <v>0006</v>
      </c>
      <c r="D5" s="7" t="s">
        <v>2048</v>
      </c>
      <c r="E5" s="7" t="s">
        <v>1592</v>
      </c>
      <c r="F5" s="6"/>
      <c r="G5" s="12"/>
      <c r="H5" s="4" t="str">
        <f>CONCATENATE("img",Table3[[#This Row],[name]],"_ofs = $",Table3[[#This Row],[ofs]])</f>
        <v>imgUNK0B_0_ofs = $0006</v>
      </c>
    </row>
    <row r="6" spans="1:8" x14ac:dyDescent="0.25">
      <c r="A6" s="11" t="s">
        <v>1099</v>
      </c>
      <c r="B6" s="5">
        <f t="shared" ref="B6:B69" si="0">ROW()-2</f>
        <v>4</v>
      </c>
      <c r="C6" s="10" t="str">
        <f>DEC2HEX(Table3[[#This Row],[num]]*2,4)</f>
        <v>0008</v>
      </c>
      <c r="D6" s="11" t="s">
        <v>2049</v>
      </c>
      <c r="E6" s="11" t="s">
        <v>747</v>
      </c>
      <c r="F6" s="12"/>
      <c r="G6" s="12"/>
      <c r="H6" s="4" t="str">
        <f>CONCATENATE("img",Table3[[#This Row],[name]],"_ofs = $",Table3[[#This Row],[ofs]])</f>
        <v>imgPlayerR_ofs = $0008</v>
      </c>
    </row>
    <row r="7" spans="1:8" x14ac:dyDescent="0.25">
      <c r="A7" s="11" t="s">
        <v>1099</v>
      </c>
      <c r="B7" s="5">
        <f t="shared" si="0"/>
        <v>5</v>
      </c>
      <c r="C7" s="10" t="str">
        <f>DEC2HEX(Table3[[#This Row],[num]]*2,4)</f>
        <v>000A</v>
      </c>
      <c r="D7" s="11" t="s">
        <v>2050</v>
      </c>
      <c r="E7" s="11" t="s">
        <v>1593</v>
      </c>
      <c r="F7" s="12"/>
      <c r="G7" s="12"/>
      <c r="H7" s="4" t="str">
        <f>CONCATENATE("img",Table3[[#This Row],[name]],"_ofs = $",Table3[[#This Row],[ofs]])</f>
        <v>imgPlayerJumpR_0_ofs = $000A</v>
      </c>
    </row>
    <row r="8" spans="1:8" x14ac:dyDescent="0.25">
      <c r="A8" s="11" t="s">
        <v>1099</v>
      </c>
      <c r="B8" s="5">
        <f t="shared" si="0"/>
        <v>6</v>
      </c>
      <c r="C8" s="10" t="str">
        <f>DEC2HEX(Table3[[#This Row],[num]]*2,4)</f>
        <v>000C</v>
      </c>
      <c r="D8" s="11" t="s">
        <v>2051</v>
      </c>
      <c r="E8" s="11" t="s">
        <v>1594</v>
      </c>
      <c r="F8" s="12"/>
      <c r="G8" s="12"/>
      <c r="H8" s="4" t="str">
        <f>CONCATENATE("img",Table3[[#This Row],[name]],"_ofs = $",Table3[[#This Row],[ofs]])</f>
        <v>imgUNK0B_1_ofs = $000C</v>
      </c>
    </row>
    <row r="9" spans="1:8" x14ac:dyDescent="0.25">
      <c r="A9" s="11" t="s">
        <v>1099</v>
      </c>
      <c r="B9" s="5">
        <f t="shared" si="0"/>
        <v>7</v>
      </c>
      <c r="C9" s="10" t="str">
        <f>DEC2HEX(Table3[[#This Row],[num]]*2,4)</f>
        <v>000E</v>
      </c>
      <c r="D9" s="11" t="s">
        <v>2052</v>
      </c>
      <c r="E9" s="11" t="s">
        <v>1595</v>
      </c>
      <c r="F9" s="12"/>
      <c r="G9" s="12"/>
      <c r="H9" s="4" t="str">
        <f>CONCATENATE("img",Table3[[#This Row],[name]],"_ofs = $",Table3[[#This Row],[ofs]])</f>
        <v>imgPlayerRotateL_0_ofs = $000E</v>
      </c>
    </row>
    <row r="10" spans="1:8" x14ac:dyDescent="0.25">
      <c r="A10" s="11" t="s">
        <v>1099</v>
      </c>
      <c r="B10" s="5">
        <f t="shared" si="0"/>
        <v>8</v>
      </c>
      <c r="C10" s="10" t="str">
        <f>DEC2HEX(Table3[[#This Row],[num]]*2,4)</f>
        <v>0010</v>
      </c>
      <c r="D10" s="11" t="s">
        <v>2053</v>
      </c>
      <c r="E10" s="11" t="s">
        <v>1596</v>
      </c>
      <c r="F10" s="12"/>
      <c r="G10" s="12"/>
      <c r="H10" s="4" t="str">
        <f>CONCATENATE("img",Table3[[#This Row],[name]],"_ofs = $",Table3[[#This Row],[ofs]])</f>
        <v>imgPlayerRotateR_0_ofs = $0010</v>
      </c>
    </row>
    <row r="11" spans="1:8" x14ac:dyDescent="0.25">
      <c r="A11" s="11" t="s">
        <v>1099</v>
      </c>
      <c r="B11" s="5">
        <f t="shared" si="0"/>
        <v>9</v>
      </c>
      <c r="C11" s="10" t="str">
        <f>DEC2HEX(Table3[[#This Row],[num]]*2,4)</f>
        <v>0012</v>
      </c>
      <c r="D11" s="11" t="s">
        <v>2054</v>
      </c>
      <c r="E11" s="11" t="s">
        <v>1597</v>
      </c>
      <c r="F11" s="12"/>
      <c r="G11" s="12"/>
      <c r="H11" s="4" t="str">
        <f>CONCATENATE("img",Table3[[#This Row],[name]],"_ofs = $",Table3[[#This Row],[ofs]])</f>
        <v>imgFlashingCircle_0_ofs = $0012</v>
      </c>
    </row>
    <row r="12" spans="1:8" x14ac:dyDescent="0.25">
      <c r="A12" s="11" t="s">
        <v>1099</v>
      </c>
      <c r="B12" s="5">
        <f t="shared" si="0"/>
        <v>10</v>
      </c>
      <c r="C12" s="10" t="str">
        <f>DEC2HEX(Table3[[#This Row],[num]]*2,4)</f>
        <v>0014</v>
      </c>
      <c r="D12" s="11" t="s">
        <v>2055</v>
      </c>
      <c r="E12" s="11" t="s">
        <v>1598</v>
      </c>
      <c r="F12" s="12"/>
      <c r="G12" s="12"/>
      <c r="H12" s="4" t="str">
        <f>CONCATENATE("img",Table3[[#This Row],[name]],"_ofs = $",Table3[[#This Row],[ofs]])</f>
        <v>imgFlashingCircle_1_ofs = $0014</v>
      </c>
    </row>
    <row r="13" spans="1:8" x14ac:dyDescent="0.25">
      <c r="A13" s="11" t="s">
        <v>1099</v>
      </c>
      <c r="B13" s="5">
        <f t="shared" si="0"/>
        <v>11</v>
      </c>
      <c r="C13" s="10" t="str">
        <f>DEC2HEX(Table3[[#This Row],[num]]*2,4)</f>
        <v>0016</v>
      </c>
      <c r="D13" s="11" t="s">
        <v>2056</v>
      </c>
      <c r="E13" s="11" t="s">
        <v>1599</v>
      </c>
      <c r="F13" s="12"/>
      <c r="G13" s="12"/>
      <c r="H13" s="4" t="str">
        <f>CONCATENATE("img",Table3[[#This Row],[name]],"_ofs = $",Table3[[#This Row],[ofs]])</f>
        <v>imgBubble_0_ofs = $0016</v>
      </c>
    </row>
    <row r="14" spans="1:8" x14ac:dyDescent="0.25">
      <c r="A14" s="11" t="s">
        <v>1099</v>
      </c>
      <c r="B14" s="5">
        <f t="shared" si="0"/>
        <v>12</v>
      </c>
      <c r="C14" s="10" t="str">
        <f>DEC2HEX(Table3[[#This Row],[num]]*2,4)</f>
        <v>0018</v>
      </c>
      <c r="D14" s="11" t="s">
        <v>2057</v>
      </c>
      <c r="E14" s="11" t="s">
        <v>1600</v>
      </c>
      <c r="F14" s="12"/>
      <c r="G14" s="12"/>
      <c r="H14" s="4" t="str">
        <f>CONCATENATE("img",Table3[[#This Row],[name]],"_ofs = $",Table3[[#This Row],[ofs]])</f>
        <v>imgBubblePop_0_ofs = $0018</v>
      </c>
    </row>
    <row r="15" spans="1:8" x14ac:dyDescent="0.25">
      <c r="A15" s="11" t="s">
        <v>1099</v>
      </c>
      <c r="B15" s="5">
        <f t="shared" si="0"/>
        <v>13</v>
      </c>
      <c r="C15" s="10" t="str">
        <f>DEC2HEX(Table3[[#This Row],[num]]*2,4)</f>
        <v>001A</v>
      </c>
      <c r="D15" s="11" t="s">
        <v>2058</v>
      </c>
      <c r="E15" s="11" t="s">
        <v>1601</v>
      </c>
      <c r="F15" s="12"/>
      <c r="G15" s="12"/>
      <c r="H15" s="4" t="str">
        <f>CONCATENATE("img",Table3[[#This Row],[name]],"_ofs = $",Table3[[#This Row],[ofs]])</f>
        <v>imgBubblePop_1_ofs = $001A</v>
      </c>
    </row>
    <row r="16" spans="1:8" x14ac:dyDescent="0.25">
      <c r="A16" s="11" t="s">
        <v>1099</v>
      </c>
      <c r="B16" s="5">
        <f t="shared" si="0"/>
        <v>14</v>
      </c>
      <c r="C16" s="10" t="str">
        <f>DEC2HEX(Table3[[#This Row],[num]]*2,4)</f>
        <v>001C</v>
      </c>
      <c r="D16" s="11" t="s">
        <v>2059</v>
      </c>
      <c r="E16" s="11" t="s">
        <v>1602</v>
      </c>
      <c r="F16" s="12"/>
      <c r="G16" s="12"/>
      <c r="H16" s="4" t="str">
        <f>CONCATENATE("img",Table3[[#This Row],[name]],"_ofs = $",Table3[[#This Row],[ofs]])</f>
        <v>imgBubbleEmerge_0_ofs = $001C</v>
      </c>
    </row>
    <row r="17" spans="1:8" x14ac:dyDescent="0.25">
      <c r="A17" s="11" t="s">
        <v>1099</v>
      </c>
      <c r="B17" s="5">
        <f t="shared" si="0"/>
        <v>15</v>
      </c>
      <c r="C17" s="10" t="str">
        <f>DEC2HEX(Table3[[#This Row],[num]]*2,4)</f>
        <v>001E</v>
      </c>
      <c r="D17" s="11" t="s">
        <v>2060</v>
      </c>
      <c r="E17" s="11" t="s">
        <v>1603</v>
      </c>
      <c r="F17" s="12"/>
      <c r="G17" s="12"/>
      <c r="H17" s="4" t="str">
        <f>CONCATENATE("img",Table3[[#This Row],[name]],"_ofs = $",Table3[[#This Row],[ofs]])</f>
        <v>imgDoubleBubble_2_ofs = $001E</v>
      </c>
    </row>
    <row r="18" spans="1:8" x14ac:dyDescent="0.25">
      <c r="A18" s="11" t="s">
        <v>1099</v>
      </c>
      <c r="B18" s="5">
        <f t="shared" si="0"/>
        <v>16</v>
      </c>
      <c r="C18" s="10" t="str">
        <f>DEC2HEX(Table3[[#This Row],[num]]*2,4)</f>
        <v>0020</v>
      </c>
      <c r="D18" s="11" t="s">
        <v>2061</v>
      </c>
      <c r="E18" s="11" t="s">
        <v>1604</v>
      </c>
      <c r="F18" s="12"/>
      <c r="G18" s="12"/>
      <c r="H18" s="4" t="str">
        <f>CONCATENATE("img",Table3[[#This Row],[name]],"_ofs = $",Table3[[#This Row],[ofs]])</f>
        <v>imgTripleBubble_2_ofs = $0020</v>
      </c>
    </row>
    <row r="19" spans="1:8" x14ac:dyDescent="0.25">
      <c r="A19" s="11" t="s">
        <v>1099</v>
      </c>
      <c r="B19" s="5">
        <f t="shared" si="0"/>
        <v>17</v>
      </c>
      <c r="C19" s="10" t="str">
        <f>DEC2HEX(Table3[[#This Row],[num]]*2,4)</f>
        <v>0022</v>
      </c>
      <c r="D19" s="11" t="s">
        <v>2062</v>
      </c>
      <c r="E19" s="11" t="s">
        <v>1605</v>
      </c>
      <c r="F19" s="12"/>
      <c r="G19" s="12"/>
      <c r="H19" s="4" t="str">
        <f>CONCATENATE("img",Table3[[#This Row],[name]],"_ofs = $",Table3[[#This Row],[ofs]])</f>
        <v>imgThunderBubble_0_ofs = $0022</v>
      </c>
    </row>
    <row r="20" spans="1:8" x14ac:dyDescent="0.25">
      <c r="A20" s="11" t="s">
        <v>1099</v>
      </c>
      <c r="B20" s="5">
        <f t="shared" si="0"/>
        <v>18</v>
      </c>
      <c r="C20" s="10" t="str">
        <f>DEC2HEX(Table3[[#This Row],[num]]*2,4)</f>
        <v>0024</v>
      </c>
      <c r="D20" s="11" t="s">
        <v>2063</v>
      </c>
      <c r="E20" s="11" t="s">
        <v>1606</v>
      </c>
      <c r="F20" s="12"/>
      <c r="G20" s="12"/>
      <c r="H20" s="4" t="str">
        <f>CONCATENATE("img",Table3[[#This Row],[name]],"_ofs = $",Table3[[#This Row],[ofs]])</f>
        <v>imgThunderBubble_1_ofs = $0024</v>
      </c>
    </row>
    <row r="21" spans="1:8" x14ac:dyDescent="0.25">
      <c r="A21" s="11" t="s">
        <v>1099</v>
      </c>
      <c r="B21" s="5">
        <f t="shared" si="0"/>
        <v>19</v>
      </c>
      <c r="C21" s="10" t="str">
        <f>DEC2HEX(Table3[[#This Row],[num]]*2,4)</f>
        <v>0026</v>
      </c>
      <c r="D21" s="11" t="s">
        <v>2064</v>
      </c>
      <c r="E21" s="11" t="s">
        <v>440</v>
      </c>
      <c r="F21" s="12"/>
      <c r="G21" s="12"/>
      <c r="H21" s="4" t="str">
        <f>CONCATENATE("img",Table3[[#This Row],[name]],"_ofs = $",Table3[[#This Row],[ofs]])</f>
        <v>imgThunder_ofs = $0026</v>
      </c>
    </row>
    <row r="22" spans="1:8" x14ac:dyDescent="0.25">
      <c r="A22" s="11" t="s">
        <v>1099</v>
      </c>
      <c r="B22" s="5">
        <f t="shared" si="0"/>
        <v>20</v>
      </c>
      <c r="C22" s="10" t="str">
        <f>DEC2HEX(Table3[[#This Row],[num]]*2,4)</f>
        <v>0028</v>
      </c>
      <c r="D22" s="11" t="s">
        <v>2065</v>
      </c>
      <c r="E22" s="11" t="s">
        <v>982</v>
      </c>
      <c r="F22" s="12"/>
      <c r="G22" s="12"/>
      <c r="H22" s="4" t="str">
        <f>CONCATENATE("img",Table3[[#This Row],[name]],"_ofs = $",Table3[[#This Row],[ofs]])</f>
        <v>imgDrinkThunder_ofs = $0028</v>
      </c>
    </row>
    <row r="23" spans="1:8" x14ac:dyDescent="0.25">
      <c r="A23" s="11" t="s">
        <v>1099</v>
      </c>
      <c r="B23" s="5">
        <f t="shared" si="0"/>
        <v>21</v>
      </c>
      <c r="C23" s="10" t="str">
        <f>DEC2HEX(Table3[[#This Row],[num]]*2,4)</f>
        <v>002A</v>
      </c>
      <c r="D23" s="11" t="s">
        <v>2066</v>
      </c>
      <c r="E23" s="11" t="s">
        <v>1551</v>
      </c>
      <c r="F23" s="12"/>
      <c r="G23" s="12"/>
      <c r="H23" s="4" t="str">
        <f>CONCATENATE("img",Table3[[#This Row],[name]],"_ofs = $",Table3[[#This Row],[ofs]])</f>
        <v>imgShoe_ofs = $002A</v>
      </c>
    </row>
    <row r="24" spans="1:8" x14ac:dyDescent="0.25">
      <c r="A24" s="11" t="s">
        <v>1099</v>
      </c>
      <c r="B24" s="5">
        <f t="shared" si="0"/>
        <v>22</v>
      </c>
      <c r="C24" s="10" t="str">
        <f>DEC2HEX(Table3[[#This Row],[num]]*2,4)</f>
        <v>002C</v>
      </c>
      <c r="D24" s="11" t="s">
        <v>2067</v>
      </c>
      <c r="E24" s="11" t="s">
        <v>1563</v>
      </c>
      <c r="F24" s="12"/>
      <c r="G24" s="12"/>
      <c r="H24" s="4" t="str">
        <f>CONCATENATE("img",Table3[[#This Row],[name]],"_ofs = $",Table3[[#This Row],[ofs]])</f>
        <v>imgHolyCup_ofs = $002C</v>
      </c>
    </row>
    <row r="25" spans="1:8" x14ac:dyDescent="0.25">
      <c r="A25" s="11" t="s">
        <v>1099</v>
      </c>
      <c r="B25" s="5">
        <f t="shared" si="0"/>
        <v>23</v>
      </c>
      <c r="C25" s="10" t="str">
        <f>DEC2HEX(Table3[[#This Row],[num]]*2,4)</f>
        <v>002E</v>
      </c>
      <c r="D25" s="11" t="s">
        <v>2068</v>
      </c>
      <c r="E25" s="11" t="s">
        <v>1547</v>
      </c>
      <c r="F25" s="12"/>
      <c r="G25" s="12"/>
      <c r="H25" s="4" t="str">
        <f>CONCATENATE("img",Table3[[#This Row],[name]],"_ofs = $",Table3[[#This Row],[ofs]])</f>
        <v>imgPencil_ofs = $002E</v>
      </c>
    </row>
    <row r="26" spans="1:8" x14ac:dyDescent="0.25">
      <c r="A26" s="11" t="s">
        <v>1099</v>
      </c>
      <c r="B26" s="5">
        <f t="shared" si="0"/>
        <v>24</v>
      </c>
      <c r="C26" s="10" t="str">
        <f>DEC2HEX(Table3[[#This Row],[num]]*2,4)</f>
        <v>0030</v>
      </c>
      <c r="D26" s="11" t="s">
        <v>2069</v>
      </c>
      <c r="E26" s="11" t="s">
        <v>1552</v>
      </c>
      <c r="F26" s="12"/>
      <c r="G26" s="12"/>
      <c r="H26" s="4" t="str">
        <f>CONCATENATE("img",Table3[[#This Row],[name]],"_ofs = $",Table3[[#This Row],[ofs]])</f>
        <v>imgCandy_ofs = $0030</v>
      </c>
    </row>
    <row r="27" spans="1:8" x14ac:dyDescent="0.25">
      <c r="A27" s="11" t="s">
        <v>1099</v>
      </c>
      <c r="B27" s="5">
        <f t="shared" si="0"/>
        <v>25</v>
      </c>
      <c r="C27" s="10" t="str">
        <f>DEC2HEX(Table3[[#This Row],[num]]*2,4)</f>
        <v>0032</v>
      </c>
      <c r="D27" s="11" t="s">
        <v>2070</v>
      </c>
      <c r="E27" s="11" t="s">
        <v>1546</v>
      </c>
      <c r="F27" s="12"/>
      <c r="G27" s="12"/>
      <c r="H27" s="4" t="str">
        <f>CONCATENATE("img",Table3[[#This Row],[name]],"_ofs = $",Table3[[#This Row],[ofs]])</f>
        <v>imgHeart_ofs = $0032</v>
      </c>
    </row>
    <row r="28" spans="1:8" x14ac:dyDescent="0.25">
      <c r="A28" s="11" t="s">
        <v>1099</v>
      </c>
      <c r="B28" s="5">
        <f t="shared" si="0"/>
        <v>26</v>
      </c>
      <c r="C28" s="10" t="str">
        <f>DEC2HEX(Table3[[#This Row],[num]]*2,4)</f>
        <v>0034</v>
      </c>
      <c r="D28" s="11" t="s">
        <v>2071</v>
      </c>
      <c r="E28" s="11" t="s">
        <v>1566</v>
      </c>
      <c r="F28" s="12"/>
      <c r="G28" s="12"/>
      <c r="H28" s="4" t="str">
        <f>CONCATENATE("img",Table3[[#This Row],[name]],"_ofs = $",Table3[[#This Row],[ofs]])</f>
        <v>imgJrDoll_ofs = $0034</v>
      </c>
    </row>
    <row r="29" spans="1:8" x14ac:dyDescent="0.25">
      <c r="A29" s="11" t="s">
        <v>1099</v>
      </c>
      <c r="B29" s="5">
        <f t="shared" si="0"/>
        <v>27</v>
      </c>
      <c r="C29" s="10" t="str">
        <f>DEC2HEX(Table3[[#This Row],[num]]*2,4)</f>
        <v>0036</v>
      </c>
      <c r="D29" s="11" t="s">
        <v>2072</v>
      </c>
      <c r="E29" s="11" t="s">
        <v>1561</v>
      </c>
      <c r="F29" s="12"/>
      <c r="G29" s="12"/>
      <c r="H29" s="4" t="str">
        <f>CONCATENATE("img",Table3[[#This Row],[name]],"_ofs = $",Table3[[#This Row],[ofs]])</f>
        <v>img1UP_ofs = $0036</v>
      </c>
    </row>
    <row r="30" spans="1:8" x14ac:dyDescent="0.25">
      <c r="A30" s="11" t="s">
        <v>1099</v>
      </c>
      <c r="B30" s="5">
        <f t="shared" si="0"/>
        <v>28</v>
      </c>
      <c r="C30" s="10" t="str">
        <f>DEC2HEX(Table3[[#This Row],[num]]*2,4)</f>
        <v>0038</v>
      </c>
      <c r="D30" s="11" t="s">
        <v>2073</v>
      </c>
      <c r="E30" s="11" t="s">
        <v>1562</v>
      </c>
      <c r="F30" s="12"/>
      <c r="G30" s="12"/>
      <c r="H30" s="4" t="str">
        <f>CONCATENATE("img",Table3[[#This Row],[name]],"_ofs = $",Table3[[#This Row],[ofs]])</f>
        <v>imgSpinyChestnut_ofs = $0038</v>
      </c>
    </row>
    <row r="31" spans="1:8" x14ac:dyDescent="0.25">
      <c r="A31" s="11" t="s">
        <v>1099</v>
      </c>
      <c r="B31" s="5">
        <f t="shared" si="0"/>
        <v>29</v>
      </c>
      <c r="C31" s="10" t="str">
        <f>DEC2HEX(Table3[[#This Row],[num]]*2,4)</f>
        <v>003A</v>
      </c>
      <c r="D31" s="11" t="s">
        <v>2074</v>
      </c>
      <c r="E31" s="11" t="s">
        <v>1564</v>
      </c>
      <c r="F31" s="12"/>
      <c r="G31" s="12"/>
      <c r="H31" s="4" t="str">
        <f>CONCATENATE("img",Table3[[#This Row],[name]],"_ofs = $",Table3[[#This Row],[ofs]])</f>
        <v>imgSecretDoor_ofs = $003A</v>
      </c>
    </row>
    <row r="32" spans="1:8" x14ac:dyDescent="0.25">
      <c r="A32" s="11" t="s">
        <v>1099</v>
      </c>
      <c r="B32" s="5">
        <f t="shared" si="0"/>
        <v>30</v>
      </c>
      <c r="C32" s="10" t="str">
        <f>DEC2HEX(Table3[[#This Row],[num]]*2,4)</f>
        <v>003C</v>
      </c>
      <c r="D32" s="11" t="s">
        <v>2075</v>
      </c>
      <c r="E32" s="11" t="s">
        <v>1549</v>
      </c>
      <c r="F32" s="12"/>
      <c r="G32" s="12"/>
      <c r="H32" s="4" t="str">
        <f>CONCATENATE("img",Table3[[#This Row],[name]],"_ofs = $",Table3[[#This Row],[ofs]])</f>
        <v>imgCrystal_ofs = $003C</v>
      </c>
    </row>
    <row r="33" spans="1:8" x14ac:dyDescent="0.25">
      <c r="A33" s="11" t="s">
        <v>1099</v>
      </c>
      <c r="B33" s="5">
        <f t="shared" si="0"/>
        <v>31</v>
      </c>
      <c r="C33" s="10" t="str">
        <f>DEC2HEX(Table3[[#This Row],[num]]*2,4)</f>
        <v>003E</v>
      </c>
      <c r="D33" s="11" t="s">
        <v>2076</v>
      </c>
      <c r="E33" s="11" t="s">
        <v>1565</v>
      </c>
      <c r="F33" s="12"/>
      <c r="G33" s="12"/>
      <c r="H33" s="4" t="str">
        <f>CONCATENATE("img",Table3[[#This Row],[name]],"_ofs = $",Table3[[#This Row],[ofs]])</f>
        <v>imgStarRod_ofs = $003E</v>
      </c>
    </row>
    <row r="34" spans="1:8" x14ac:dyDescent="0.25">
      <c r="A34" s="11" t="s">
        <v>1099</v>
      </c>
      <c r="B34" s="5">
        <f t="shared" si="0"/>
        <v>32</v>
      </c>
      <c r="C34" s="10" t="str">
        <f>DEC2HEX(Table3[[#This Row],[num]]*2,4)</f>
        <v>0040</v>
      </c>
      <c r="D34" s="11" t="s">
        <v>2077</v>
      </c>
      <c r="E34" s="11" t="s">
        <v>1554</v>
      </c>
      <c r="F34" s="12"/>
      <c r="G34" s="12"/>
      <c r="H34" s="4" t="str">
        <f>CONCATENATE("img",Table3[[#This Row],[name]],"_ofs = $",Table3[[#This Row],[ofs]])</f>
        <v>imgClock_ofs = $0040</v>
      </c>
    </row>
    <row r="35" spans="1:8" x14ac:dyDescent="0.25">
      <c r="A35" s="11" t="s">
        <v>1099</v>
      </c>
      <c r="B35" s="5">
        <f t="shared" si="0"/>
        <v>33</v>
      </c>
      <c r="C35" s="10" t="str">
        <f>DEC2HEX(Table3[[#This Row],[num]]*2,4)</f>
        <v>0042</v>
      </c>
      <c r="D35" s="11" t="s">
        <v>2078</v>
      </c>
      <c r="E35" s="11" t="s">
        <v>1548</v>
      </c>
      <c r="F35" s="12"/>
      <c r="G35" s="12"/>
      <c r="H35" s="4" t="str">
        <f>CONCATENATE("img",Table3[[#This Row],[name]],"_ofs = $",Table3[[#This Row],[ofs]])</f>
        <v>imgStaff_ofs = $0042</v>
      </c>
    </row>
    <row r="36" spans="1:8" x14ac:dyDescent="0.25">
      <c r="A36" s="11" t="s">
        <v>1099</v>
      </c>
      <c r="B36" s="5">
        <f t="shared" si="0"/>
        <v>34</v>
      </c>
      <c r="C36" s="10" t="str">
        <f>DEC2HEX(Table3[[#This Row],[num]]*2,4)</f>
        <v>0044</v>
      </c>
      <c r="D36" s="11" t="s">
        <v>2079</v>
      </c>
      <c r="E36" s="11" t="s">
        <v>1555</v>
      </c>
      <c r="F36" s="12"/>
      <c r="G36" s="12"/>
      <c r="H36" s="4" t="str">
        <f>CONCATENATE("img",Table3[[#This Row],[name]],"_ofs = $",Table3[[#This Row],[ofs]])</f>
        <v>imgTree_ofs = $0044</v>
      </c>
    </row>
    <row r="37" spans="1:8" x14ac:dyDescent="0.25">
      <c r="A37" s="11" t="s">
        <v>1099</v>
      </c>
      <c r="B37" s="5">
        <f t="shared" si="0"/>
        <v>35</v>
      </c>
      <c r="C37" s="10" t="str">
        <f>DEC2HEX(Table3[[#This Row],[num]]*2,4)</f>
        <v>0046</v>
      </c>
      <c r="D37" s="11" t="s">
        <v>2080</v>
      </c>
      <c r="E37" s="11" t="s">
        <v>1556</v>
      </c>
      <c r="F37" s="12"/>
      <c r="G37" s="12"/>
      <c r="H37" s="4" t="str">
        <f>CONCATENATE("img",Table3[[#This Row],[name]],"_ofs = $",Table3[[#This Row],[ofs]])</f>
        <v>imgParasol_ofs = $0046</v>
      </c>
    </row>
    <row r="38" spans="1:8" x14ac:dyDescent="0.25">
      <c r="A38" s="11" t="s">
        <v>1099</v>
      </c>
      <c r="B38" s="5">
        <f t="shared" si="0"/>
        <v>36</v>
      </c>
      <c r="C38" s="10" t="str">
        <f>DEC2HEX(Table3[[#This Row],[num]]*2,4)</f>
        <v>0048</v>
      </c>
      <c r="D38" s="11" t="s">
        <v>2081</v>
      </c>
      <c r="E38" s="11" t="s">
        <v>922</v>
      </c>
      <c r="F38" s="12"/>
      <c r="G38" s="12"/>
      <c r="H38" s="4" t="str">
        <f>CONCATENATE("img",Table3[[#This Row],[name]],"_ofs = $",Table3[[#This Row],[ofs]])</f>
        <v>imgSpikeBall_ofs = $0048</v>
      </c>
    </row>
    <row r="39" spans="1:8" x14ac:dyDescent="0.25">
      <c r="A39" s="11" t="s">
        <v>1099</v>
      </c>
      <c r="B39" s="5">
        <f t="shared" si="0"/>
        <v>37</v>
      </c>
      <c r="C39" s="10" t="str">
        <f>DEC2HEX(Table3[[#This Row],[num]]*2,4)</f>
        <v>004A</v>
      </c>
      <c r="D39" s="11" t="s">
        <v>2082</v>
      </c>
      <c r="E39" s="11" t="s">
        <v>981</v>
      </c>
      <c r="F39" s="12"/>
      <c r="G39" s="12"/>
      <c r="H39" s="4" t="str">
        <f>CONCATENATE("img",Table3[[#This Row],[name]],"_ofs = $",Table3[[#This Row],[ofs]])</f>
        <v>imgTractorMissile_ofs = $004A</v>
      </c>
    </row>
    <row r="40" spans="1:8" x14ac:dyDescent="0.25">
      <c r="A40" s="11" t="s">
        <v>1099</v>
      </c>
      <c r="B40" s="5">
        <f t="shared" si="0"/>
        <v>38</v>
      </c>
      <c r="C40" s="10" t="str">
        <f>DEC2HEX(Table3[[#This Row],[num]]*2,4)</f>
        <v>004C</v>
      </c>
      <c r="D40" s="11" t="s">
        <v>2083</v>
      </c>
      <c r="E40" s="11" t="s">
        <v>1607</v>
      </c>
      <c r="F40" s="12"/>
      <c r="G40" s="12"/>
      <c r="H40" s="4" t="str">
        <f>CONCATENATE("img",Table3[[#This Row],[name]],"_ofs = $",Table3[[#This Row],[ofs]])</f>
        <v>imgFlames4_0_ofs = $004C</v>
      </c>
    </row>
    <row r="41" spans="1:8" x14ac:dyDescent="0.25">
      <c r="A41" s="11" t="s">
        <v>1099</v>
      </c>
      <c r="B41" s="5">
        <f t="shared" si="0"/>
        <v>39</v>
      </c>
      <c r="C41" s="10" t="str">
        <f>DEC2HEX(Table3[[#This Row],[num]]*2,4)</f>
        <v>004E</v>
      </c>
      <c r="D41" s="11" t="s">
        <v>2084</v>
      </c>
      <c r="E41" s="11" t="s">
        <v>1608</v>
      </c>
      <c r="F41" s="12"/>
      <c r="G41" s="12"/>
      <c r="H41" s="4" t="str">
        <f>CONCATENATE("img",Table3[[#This Row],[name]],"_ofs = $",Table3[[#This Row],[ofs]])</f>
        <v>imgUNK122_0_ofs = $004E</v>
      </c>
    </row>
    <row r="42" spans="1:8" x14ac:dyDescent="0.25">
      <c r="A42" s="11" t="s">
        <v>1099</v>
      </c>
      <c r="B42" s="5">
        <f t="shared" si="0"/>
        <v>40</v>
      </c>
      <c r="C42" s="10" t="str">
        <f>DEC2HEX(Table3[[#This Row],[num]]*2,4)</f>
        <v>0050</v>
      </c>
      <c r="D42" s="11" t="s">
        <v>2085</v>
      </c>
      <c r="E42" s="11" t="s">
        <v>1609</v>
      </c>
      <c r="F42" s="12"/>
      <c r="G42" s="12"/>
      <c r="H42" s="4" t="str">
        <f>CONCATENATE("img",Table3[[#This Row],[name]],"_ofs = $",Table3[[#This Row],[ofs]])</f>
        <v>imgZenChanL_0_ofs = $0050</v>
      </c>
    </row>
    <row r="43" spans="1:8" x14ac:dyDescent="0.25">
      <c r="A43" s="11" t="s">
        <v>1099</v>
      </c>
      <c r="B43" s="5">
        <f t="shared" si="0"/>
        <v>41</v>
      </c>
      <c r="C43" s="10" t="str">
        <f>DEC2HEX(Table3[[#This Row],[num]]*2,4)</f>
        <v>0052</v>
      </c>
      <c r="D43" s="11" t="s">
        <v>2086</v>
      </c>
      <c r="E43" s="11" t="s">
        <v>1610</v>
      </c>
      <c r="F43" s="12"/>
      <c r="G43" s="12"/>
      <c r="H43" s="4" t="str">
        <f>CONCATENATE("img",Table3[[#This Row],[name]],"_ofs = $",Table3[[#This Row],[ofs]])</f>
        <v>imgZenChanL_1_ofs = $0052</v>
      </c>
    </row>
    <row r="44" spans="1:8" x14ac:dyDescent="0.25">
      <c r="A44" s="11" t="s">
        <v>1099</v>
      </c>
      <c r="B44" s="5">
        <f t="shared" si="0"/>
        <v>42</v>
      </c>
      <c r="C44" s="10" t="str">
        <f>DEC2HEX(Table3[[#This Row],[num]]*2,4)</f>
        <v>0054</v>
      </c>
      <c r="D44" s="11" t="s">
        <v>2087</v>
      </c>
      <c r="E44" s="11" t="s">
        <v>1611</v>
      </c>
      <c r="F44" s="12"/>
      <c r="G44" s="12"/>
      <c r="H44" s="4" t="str">
        <f>CONCATENATE("img",Table3[[#This Row],[name]],"_ofs = $",Table3[[#This Row],[ofs]])</f>
        <v>imgZenChanL_2_ofs = $0054</v>
      </c>
    </row>
    <row r="45" spans="1:8" x14ac:dyDescent="0.25">
      <c r="A45" s="11" t="s">
        <v>1099</v>
      </c>
      <c r="B45" s="5">
        <f t="shared" si="0"/>
        <v>43</v>
      </c>
      <c r="C45" s="10" t="str">
        <f>DEC2HEX(Table3[[#This Row],[num]]*2,4)</f>
        <v>0056</v>
      </c>
      <c r="D45" s="11" t="s">
        <v>2088</v>
      </c>
      <c r="E45" s="11" t="s">
        <v>1612</v>
      </c>
      <c r="F45" s="12"/>
      <c r="G45" s="12"/>
      <c r="H45" s="4" t="str">
        <f>CONCATENATE("img",Table3[[#This Row],[name]],"_ofs = $",Table3[[#This Row],[ofs]])</f>
        <v>imgZenChanL_3_ofs = $0056</v>
      </c>
    </row>
    <row r="46" spans="1:8" x14ac:dyDescent="0.25">
      <c r="A46" s="11" t="s">
        <v>1099</v>
      </c>
      <c r="B46" s="5">
        <f t="shared" si="0"/>
        <v>44</v>
      </c>
      <c r="C46" s="10" t="str">
        <f>DEC2HEX(Table3[[#This Row],[num]]*2,4)</f>
        <v>0058</v>
      </c>
      <c r="D46" s="11" t="s">
        <v>2089</v>
      </c>
      <c r="E46" s="11" t="s">
        <v>1613</v>
      </c>
      <c r="F46" s="12"/>
      <c r="G46" s="12"/>
      <c r="H46" s="4" t="str">
        <f>CONCATENATE("img",Table3[[#This Row],[name]],"_ofs = $",Table3[[#This Row],[ofs]])</f>
        <v>imgBanebouL_1_ofs = $0058</v>
      </c>
    </row>
    <row r="47" spans="1:8" x14ac:dyDescent="0.25">
      <c r="A47" s="11" t="s">
        <v>1099</v>
      </c>
      <c r="B47" s="5">
        <f t="shared" si="0"/>
        <v>45</v>
      </c>
      <c r="C47" s="10" t="str">
        <f>DEC2HEX(Table3[[#This Row],[num]]*2,4)</f>
        <v>005A</v>
      </c>
      <c r="D47" s="11" t="s">
        <v>2090</v>
      </c>
      <c r="E47" s="11" t="s">
        <v>1614</v>
      </c>
      <c r="F47" s="12"/>
      <c r="G47" s="12"/>
      <c r="H47" s="4" t="str">
        <f>CONCATENATE("img",Table3[[#This Row],[name]],"_ofs = $",Table3[[#This Row],[ofs]])</f>
        <v>imgBanebouL_0_ofs = $005A</v>
      </c>
    </row>
    <row r="48" spans="1:8" x14ac:dyDescent="0.25">
      <c r="A48" s="11" t="s">
        <v>1099</v>
      </c>
      <c r="B48" s="5">
        <f t="shared" si="0"/>
        <v>46</v>
      </c>
      <c r="C48" s="10" t="str">
        <f>DEC2HEX(Table3[[#This Row],[num]]*2,4)</f>
        <v>005C</v>
      </c>
      <c r="D48" s="11" t="s">
        <v>2091</v>
      </c>
      <c r="E48" s="11" t="s">
        <v>1615</v>
      </c>
      <c r="F48" s="12"/>
      <c r="G48" s="12"/>
      <c r="H48" s="4" t="str">
        <f>CONCATENATE("img",Table3[[#This Row],[name]],"_ofs = $",Table3[[#This Row],[ofs]])</f>
        <v>imgInvaderTrapped_0_ofs = $005C</v>
      </c>
    </row>
    <row r="49" spans="1:8" x14ac:dyDescent="0.25">
      <c r="A49" s="11" t="s">
        <v>1099</v>
      </c>
      <c r="B49" s="5">
        <f t="shared" si="0"/>
        <v>47</v>
      </c>
      <c r="C49" s="10" t="str">
        <f>DEC2HEX(Table3[[#This Row],[num]]*2,4)</f>
        <v>005E</v>
      </c>
      <c r="D49" s="11" t="s">
        <v>2092</v>
      </c>
      <c r="E49" s="11" t="s">
        <v>1616</v>
      </c>
      <c r="F49" s="12"/>
      <c r="G49" s="12"/>
      <c r="H49" s="4" t="str">
        <f>CONCATENATE("img",Table3[[#This Row],[name]],"_ofs = $",Table3[[#This Row],[ofs]])</f>
        <v>imgInvaderTrapped_1_ofs = $005E</v>
      </c>
    </row>
    <row r="50" spans="1:8" x14ac:dyDescent="0.25">
      <c r="A50" s="11" t="s">
        <v>1099</v>
      </c>
      <c r="B50" s="5">
        <f t="shared" si="0"/>
        <v>48</v>
      </c>
      <c r="C50" s="10" t="str">
        <f>DEC2HEX(Table3[[#This Row],[num]]*2,4)</f>
        <v>0060</v>
      </c>
      <c r="D50" s="11" t="s">
        <v>2093</v>
      </c>
      <c r="E50" s="11" t="s">
        <v>1617</v>
      </c>
      <c r="F50" s="12"/>
      <c r="G50" s="12"/>
      <c r="H50" s="4" t="str">
        <f>CONCATENATE("img",Table3[[#This Row],[name]],"_ofs = $",Table3[[#This Row],[ofs]])</f>
        <v>imgRoboZenHandL_0_ofs = $0060</v>
      </c>
    </row>
    <row r="51" spans="1:8" x14ac:dyDescent="0.25">
      <c r="A51" s="11" t="s">
        <v>1099</v>
      </c>
      <c r="B51" s="5">
        <f t="shared" si="0"/>
        <v>49</v>
      </c>
      <c r="C51" s="10" t="str">
        <f>DEC2HEX(Table3[[#This Row],[num]]*2,4)</f>
        <v>0062</v>
      </c>
      <c r="D51" s="11" t="s">
        <v>2094</v>
      </c>
      <c r="E51" s="11" t="s">
        <v>1618</v>
      </c>
      <c r="F51" s="12"/>
      <c r="G51" s="12"/>
      <c r="H51" s="4" t="str">
        <f>CONCATENATE("img",Table3[[#This Row],[name]],"_ofs = $",Table3[[#This Row],[ofs]])</f>
        <v>imgRoboZenHandL_1_ofs = $0062</v>
      </c>
    </row>
    <row r="52" spans="1:8" x14ac:dyDescent="0.25">
      <c r="A52" s="11" t="s">
        <v>1099</v>
      </c>
      <c r="B52" s="5">
        <f t="shared" si="0"/>
        <v>50</v>
      </c>
      <c r="C52" s="10" t="str">
        <f>DEC2HEX(Table3[[#This Row],[num]]*2,4)</f>
        <v>0064</v>
      </c>
      <c r="D52" s="11" t="s">
        <v>2095</v>
      </c>
      <c r="E52" s="11" t="s">
        <v>1619</v>
      </c>
      <c r="F52" s="12"/>
      <c r="G52" s="12"/>
      <c r="H52" s="4" t="str">
        <f>CONCATENATE("img",Table3[[#This Row],[name]],"_ofs = $",Table3[[#This Row],[ofs]])</f>
        <v>imgZenChanTrapped_2_ofs = $0064</v>
      </c>
    </row>
    <row r="53" spans="1:8" x14ac:dyDescent="0.25">
      <c r="A53" s="11" t="s">
        <v>1099</v>
      </c>
      <c r="B53" s="5">
        <f t="shared" si="0"/>
        <v>51</v>
      </c>
      <c r="C53" s="10" t="str">
        <f>DEC2HEX(Table3[[#This Row],[num]]*2,4)</f>
        <v>0066</v>
      </c>
      <c r="D53" s="11" t="s">
        <v>2096</v>
      </c>
      <c r="E53" s="11" t="s">
        <v>1620</v>
      </c>
      <c r="F53" s="12"/>
      <c r="G53" s="12"/>
      <c r="H53" s="4" t="str">
        <f>CONCATENATE("img",Table3[[#This Row],[name]],"_ofs = $",Table3[[#This Row],[ofs]])</f>
        <v>imgNeedlerTrapped_1_ofs = $0066</v>
      </c>
    </row>
    <row r="54" spans="1:8" x14ac:dyDescent="0.25">
      <c r="A54" s="11" t="s">
        <v>1099</v>
      </c>
      <c r="B54" s="5">
        <f t="shared" si="0"/>
        <v>52</v>
      </c>
      <c r="C54" s="10" t="str">
        <f>DEC2HEX(Table3[[#This Row],[num]]*2,4)</f>
        <v>0068</v>
      </c>
      <c r="D54" s="11" t="s">
        <v>2097</v>
      </c>
      <c r="E54" s="11" t="s">
        <v>1621</v>
      </c>
      <c r="F54" s="12"/>
      <c r="G54" s="12"/>
      <c r="H54" s="4" t="str">
        <f>CONCATENATE("img",Table3[[#This Row],[name]],"_ofs = $",Table3[[#This Row],[ofs]])</f>
        <v>imgBlobbyTrapped_0_ofs = $0068</v>
      </c>
    </row>
    <row r="55" spans="1:8" x14ac:dyDescent="0.25">
      <c r="A55" s="11" t="s">
        <v>1099</v>
      </c>
      <c r="B55" s="5">
        <f t="shared" si="0"/>
        <v>53</v>
      </c>
      <c r="C55" s="10" t="str">
        <f>DEC2HEX(Table3[[#This Row],[num]]*2,4)</f>
        <v>006A</v>
      </c>
      <c r="D55" s="11" t="s">
        <v>2098</v>
      </c>
      <c r="E55" s="11" t="s">
        <v>1622</v>
      </c>
      <c r="F55" s="12"/>
      <c r="G55" s="12"/>
      <c r="H55" s="4" t="str">
        <f>CONCATENATE("img",Table3[[#This Row],[name]],"_ofs = $",Table3[[#This Row],[ofs]])</f>
        <v>imgBlobbyTrapped_1_ofs = $006A</v>
      </c>
    </row>
    <row r="56" spans="1:8" x14ac:dyDescent="0.25">
      <c r="A56" s="11" t="s">
        <v>1099</v>
      </c>
      <c r="B56" s="5">
        <f t="shared" si="0"/>
        <v>54</v>
      </c>
      <c r="C56" s="10" t="str">
        <f>DEC2HEX(Table3[[#This Row],[num]]*2,4)</f>
        <v>006C</v>
      </c>
      <c r="D56" s="11" t="s">
        <v>2099</v>
      </c>
      <c r="E56" s="11" t="s">
        <v>1623</v>
      </c>
      <c r="F56" s="12"/>
      <c r="G56" s="12"/>
      <c r="H56" s="4" t="str">
        <f>CONCATENATE("img",Table3[[#This Row],[name]],"_ofs = $",Table3[[#This Row],[ofs]])</f>
        <v>imgBlobbyTrapped_2_ofs = $006C</v>
      </c>
    </row>
    <row r="57" spans="1:8" x14ac:dyDescent="0.25">
      <c r="A57" s="11" t="s">
        <v>1099</v>
      </c>
      <c r="B57" s="5">
        <f t="shared" si="0"/>
        <v>55</v>
      </c>
      <c r="C57" s="10" t="str">
        <f>DEC2HEX(Table3[[#This Row],[num]]*2,4)</f>
        <v>006E</v>
      </c>
      <c r="D57" s="11" t="s">
        <v>2100</v>
      </c>
      <c r="E57" s="11" t="s">
        <v>1530</v>
      </c>
      <c r="F57" s="12"/>
      <c r="G57" s="12"/>
      <c r="H57" s="4" t="str">
        <f>CONCATENATE("img",Table3[[#This Row],[name]],"_ofs = $",Table3[[#This Row],[ofs]])</f>
        <v>imgRoboZenMissileUp_ofs = $006E</v>
      </c>
    </row>
    <row r="58" spans="1:8" x14ac:dyDescent="0.25">
      <c r="A58" s="11" t="s">
        <v>1099</v>
      </c>
      <c r="B58" s="5">
        <f t="shared" si="0"/>
        <v>56</v>
      </c>
      <c r="C58" s="10" t="str">
        <f>DEC2HEX(Table3[[#This Row],[num]]*2,4)</f>
        <v>0070</v>
      </c>
      <c r="D58" s="11" t="s">
        <v>2101</v>
      </c>
      <c r="E58" s="11" t="s">
        <v>1624</v>
      </c>
      <c r="F58" s="12"/>
      <c r="G58" s="12"/>
      <c r="H58" s="4" t="str">
        <f>CONCATENATE("img",Table3[[#This Row],[name]],"_ofs = $",Table3[[#This Row],[ofs]])</f>
        <v>imgZenChanR_0_ofs = $0070</v>
      </c>
    </row>
    <row r="59" spans="1:8" x14ac:dyDescent="0.25">
      <c r="A59" s="11" t="s">
        <v>1099</v>
      </c>
      <c r="B59" s="5">
        <f t="shared" si="0"/>
        <v>57</v>
      </c>
      <c r="C59" s="10" t="str">
        <f>DEC2HEX(Table3[[#This Row],[num]]*2,4)</f>
        <v>0072</v>
      </c>
      <c r="D59" s="11" t="s">
        <v>2102</v>
      </c>
      <c r="E59" s="11" t="s">
        <v>1625</v>
      </c>
      <c r="F59" s="12"/>
      <c r="G59" s="12"/>
      <c r="H59" s="4" t="str">
        <f>CONCATENATE("img",Table3[[#This Row],[name]],"_ofs = $",Table3[[#This Row],[ofs]])</f>
        <v>imgZenChanR_1_ofs = $0072</v>
      </c>
    </row>
    <row r="60" spans="1:8" x14ac:dyDescent="0.25">
      <c r="A60" s="11" t="s">
        <v>1099</v>
      </c>
      <c r="B60" s="5">
        <f t="shared" si="0"/>
        <v>58</v>
      </c>
      <c r="C60" s="10" t="str">
        <f>DEC2HEX(Table3[[#This Row],[num]]*2,4)</f>
        <v>0074</v>
      </c>
      <c r="D60" s="11" t="s">
        <v>2103</v>
      </c>
      <c r="E60" s="11" t="s">
        <v>1626</v>
      </c>
      <c r="F60" s="12"/>
      <c r="G60" s="12"/>
      <c r="H60" s="4" t="str">
        <f>CONCATENATE("img",Table3[[#This Row],[name]],"_ofs = $",Table3[[#This Row],[ofs]])</f>
        <v>imgZenChanR_2_ofs = $0074</v>
      </c>
    </row>
    <row r="61" spans="1:8" x14ac:dyDescent="0.25">
      <c r="A61" s="11" t="s">
        <v>1099</v>
      </c>
      <c r="B61" s="5">
        <f t="shared" si="0"/>
        <v>59</v>
      </c>
      <c r="C61" s="10" t="str">
        <f>DEC2HEX(Table3[[#This Row],[num]]*2,4)</f>
        <v>0076</v>
      </c>
      <c r="D61" s="11" t="s">
        <v>2104</v>
      </c>
      <c r="E61" s="11" t="s">
        <v>1627</v>
      </c>
      <c r="F61" s="12"/>
      <c r="G61" s="12"/>
      <c r="H61" s="4" t="str">
        <f>CONCATENATE("img",Table3[[#This Row],[name]],"_ofs = $",Table3[[#This Row],[ofs]])</f>
        <v>imgZenChanR_3_ofs = $0076</v>
      </c>
    </row>
    <row r="62" spans="1:8" x14ac:dyDescent="0.25">
      <c r="A62" s="11" t="s">
        <v>1099</v>
      </c>
      <c r="B62" s="5">
        <f t="shared" si="0"/>
        <v>60</v>
      </c>
      <c r="C62" s="10" t="str">
        <f>DEC2HEX(Table3[[#This Row],[num]]*2,4)</f>
        <v>0078</v>
      </c>
      <c r="D62" s="11" t="s">
        <v>2105</v>
      </c>
      <c r="E62" s="11" t="s">
        <v>1628</v>
      </c>
      <c r="F62" s="12"/>
      <c r="G62" s="12"/>
      <c r="H62" s="4" t="str">
        <f>CONCATENATE("img",Table3[[#This Row],[name]],"_ofs = $",Table3[[#This Row],[ofs]])</f>
        <v>imgBanebouL_9_ofs = $0078</v>
      </c>
    </row>
    <row r="63" spans="1:8" x14ac:dyDescent="0.25">
      <c r="A63" s="11" t="s">
        <v>1099</v>
      </c>
      <c r="B63" s="5">
        <f t="shared" si="0"/>
        <v>61</v>
      </c>
      <c r="C63" s="10" t="str">
        <f>DEC2HEX(Table3[[#This Row],[num]]*2,4)</f>
        <v>007A</v>
      </c>
      <c r="D63" s="11" t="s">
        <v>2106</v>
      </c>
      <c r="E63" s="11" t="s">
        <v>1629</v>
      </c>
      <c r="F63" s="12"/>
      <c r="G63" s="12"/>
      <c r="H63" s="4" t="str">
        <f>CONCATENATE("img",Table3[[#This Row],[name]],"_ofs = $",Table3[[#This Row],[ofs]])</f>
        <v>imgChuckerShootR_1_ofs = $007A</v>
      </c>
    </row>
    <row r="64" spans="1:8" x14ac:dyDescent="0.25">
      <c r="A64" s="11" t="s">
        <v>1099</v>
      </c>
      <c r="B64" s="5">
        <f t="shared" si="0"/>
        <v>62</v>
      </c>
      <c r="C64" s="10" t="str">
        <f>DEC2HEX(Table3[[#This Row],[num]]*2,4)</f>
        <v>007C</v>
      </c>
      <c r="D64" s="11" t="s">
        <v>2107</v>
      </c>
      <c r="E64" s="11" t="s">
        <v>1630</v>
      </c>
      <c r="F64" s="12"/>
      <c r="G64" s="12"/>
      <c r="H64" s="4" t="str">
        <f>CONCATENATE("img",Table3[[#This Row],[name]],"_ofs = $",Table3[[#This Row],[ofs]])</f>
        <v>imgBlobbyUpR_0_ofs = $007C</v>
      </c>
    </row>
    <row r="65" spans="1:8" x14ac:dyDescent="0.25">
      <c r="A65" s="11" t="s">
        <v>1099</v>
      </c>
      <c r="B65" s="5">
        <f t="shared" si="0"/>
        <v>63</v>
      </c>
      <c r="C65" s="10" t="str">
        <f>DEC2HEX(Table3[[#This Row],[num]]*2,4)</f>
        <v>007E</v>
      </c>
      <c r="D65" s="11" t="s">
        <v>2108</v>
      </c>
      <c r="E65" s="11" t="s">
        <v>1631</v>
      </c>
      <c r="F65" s="12"/>
      <c r="G65" s="12"/>
      <c r="H65" s="4" t="str">
        <f>CONCATENATE("img",Table3[[#This Row],[name]],"_ofs = $",Table3[[#This Row],[ofs]])</f>
        <v>imgBlobbyUpR_1_ofs = $007E</v>
      </c>
    </row>
    <row r="66" spans="1:8" x14ac:dyDescent="0.25">
      <c r="A66" s="11" t="s">
        <v>1099</v>
      </c>
      <c r="B66" s="5">
        <f t="shared" si="0"/>
        <v>64</v>
      </c>
      <c r="C66" s="10" t="str">
        <f>DEC2HEX(Table3[[#This Row],[num]]*2,4)</f>
        <v>0080</v>
      </c>
      <c r="D66" s="11" t="s">
        <v>2109</v>
      </c>
      <c r="E66" s="11" t="s">
        <v>1632</v>
      </c>
      <c r="F66" s="12"/>
      <c r="G66" s="12"/>
      <c r="H66" s="4" t="str">
        <f>CONCATENATE("img",Table3[[#This Row],[name]],"_ofs = $",Table3[[#This Row],[ofs]])</f>
        <v>imgRoboZenHandR_0_ofs = $0080</v>
      </c>
    </row>
    <row r="67" spans="1:8" x14ac:dyDescent="0.25">
      <c r="A67" s="11" t="s">
        <v>1099</v>
      </c>
      <c r="B67" s="5">
        <f t="shared" si="0"/>
        <v>65</v>
      </c>
      <c r="C67" s="10" t="str">
        <f>DEC2HEX(Table3[[#This Row],[num]]*2,4)</f>
        <v>0082</v>
      </c>
      <c r="D67" s="11" t="s">
        <v>2110</v>
      </c>
      <c r="E67" s="11" t="s">
        <v>1633</v>
      </c>
      <c r="F67" s="12"/>
      <c r="G67" s="12"/>
      <c r="H67" s="4" t="str">
        <f>CONCATENATE("img",Table3[[#This Row],[name]],"_ofs = $",Table3[[#This Row],[ofs]])</f>
        <v>imgRoboZenHandR_1_ofs = $0082</v>
      </c>
    </row>
    <row r="68" spans="1:8" x14ac:dyDescent="0.25">
      <c r="A68" s="11" t="s">
        <v>1099</v>
      </c>
      <c r="B68" s="5">
        <f t="shared" si="0"/>
        <v>66</v>
      </c>
      <c r="C68" s="10" t="str">
        <f>DEC2HEX(Table3[[#This Row],[num]]*2,4)</f>
        <v>0084</v>
      </c>
      <c r="D68" s="11" t="s">
        <v>2111</v>
      </c>
      <c r="E68" s="11" t="s">
        <v>1634</v>
      </c>
      <c r="F68" s="12"/>
      <c r="G68" s="12"/>
      <c r="H68" s="4" t="str">
        <f>CONCATENATE("img",Table3[[#This Row],[name]],"_ofs = $",Table3[[#This Row],[ofs]])</f>
        <v>imgHandWindingR_0_ofs = $0084</v>
      </c>
    </row>
    <row r="69" spans="1:8" x14ac:dyDescent="0.25">
      <c r="A69" s="11" t="s">
        <v>1099</v>
      </c>
      <c r="B69" s="5">
        <f t="shared" si="0"/>
        <v>67</v>
      </c>
      <c r="C69" s="10" t="str">
        <f>DEC2HEX(Table3[[#This Row],[num]]*2,4)</f>
        <v>0086</v>
      </c>
      <c r="D69" s="11" t="s">
        <v>2112</v>
      </c>
      <c r="E69" s="11" t="s">
        <v>1635</v>
      </c>
      <c r="F69" s="12"/>
      <c r="G69" s="12"/>
      <c r="H69" s="4" t="str">
        <f>CONCATENATE("img",Table3[[#This Row],[name]],"_ofs = $",Table3[[#This Row],[ofs]])</f>
        <v>imgHandWindingR_1_ofs = $0086</v>
      </c>
    </row>
    <row r="70" spans="1:8" x14ac:dyDescent="0.25">
      <c r="A70" s="11" t="s">
        <v>1099</v>
      </c>
      <c r="B70" s="5">
        <f t="shared" ref="B70:B133" si="1">ROW()-2</f>
        <v>68</v>
      </c>
      <c r="C70" s="10" t="str">
        <f>DEC2HEX(Table3[[#This Row],[num]]*2,4)</f>
        <v>0088</v>
      </c>
      <c r="D70" s="11" t="s">
        <v>2113</v>
      </c>
      <c r="E70" s="11" t="s">
        <v>1636</v>
      </c>
      <c r="F70" s="12"/>
      <c r="G70" s="12"/>
      <c r="H70" s="4" t="str">
        <f>CONCATENATE("img",Table3[[#This Row],[name]],"_ofs = $",Table3[[#This Row],[ofs]])</f>
        <v>imgHandWindingR_2_ofs = $0088</v>
      </c>
    </row>
    <row r="71" spans="1:8" x14ac:dyDescent="0.25">
      <c r="A71" s="11" t="s">
        <v>1099</v>
      </c>
      <c r="B71" s="5">
        <f t="shared" si="1"/>
        <v>69</v>
      </c>
      <c r="C71" s="10" t="str">
        <f>DEC2HEX(Table3[[#This Row],[num]]*2,4)</f>
        <v>008A</v>
      </c>
      <c r="D71" s="11" t="s">
        <v>2114</v>
      </c>
      <c r="E71" s="11" t="s">
        <v>1536</v>
      </c>
      <c r="F71" s="12"/>
      <c r="G71" s="12"/>
      <c r="H71" s="4" t="str">
        <f>CONCATENATE("img",Table3[[#This Row],[name]],"_ofs = $",Table3[[#This Row],[ofs]])</f>
        <v>imgRoboZenMissileRight_ofs = $008A</v>
      </c>
    </row>
    <row r="72" spans="1:8" x14ac:dyDescent="0.25">
      <c r="A72" s="11" t="s">
        <v>1099</v>
      </c>
      <c r="B72" s="5">
        <f t="shared" si="1"/>
        <v>70</v>
      </c>
      <c r="C72" s="10" t="str">
        <f>DEC2HEX(Table3[[#This Row],[num]]*2,4)</f>
        <v>008C</v>
      </c>
      <c r="D72" s="11" t="s">
        <v>2115</v>
      </c>
      <c r="E72" s="11" t="s">
        <v>1532</v>
      </c>
      <c r="F72" s="12"/>
      <c r="G72" s="12"/>
      <c r="H72" s="4" t="str">
        <f>CONCATENATE("img",Table3[[#This Row],[name]],"_ofs = $",Table3[[#This Row],[ofs]])</f>
        <v>imgRoboZenMissileDownRight_ofs = $008C</v>
      </c>
    </row>
    <row r="73" spans="1:8" x14ac:dyDescent="0.25">
      <c r="A73" s="11" t="s">
        <v>1099</v>
      </c>
      <c r="B73" s="5">
        <f t="shared" si="1"/>
        <v>71</v>
      </c>
      <c r="C73" s="10" t="str">
        <f>DEC2HEX(Table3[[#This Row],[num]]*2,4)</f>
        <v>008E</v>
      </c>
      <c r="D73" s="11" t="s">
        <v>2116</v>
      </c>
      <c r="E73" s="11" t="s">
        <v>1637</v>
      </c>
      <c r="F73" s="12"/>
      <c r="G73" s="12"/>
      <c r="H73" s="4" t="str">
        <f>CONCATENATE("img",Table3[[#This Row],[name]],"_ofs = $",Table3[[#This Row],[ofs]])</f>
        <v>imgUNK04_008E_ofs = $008E</v>
      </c>
    </row>
    <row r="74" spans="1:8" x14ac:dyDescent="0.25">
      <c r="A74" s="11" t="s">
        <v>1099</v>
      </c>
      <c r="B74" s="5">
        <f t="shared" si="1"/>
        <v>72</v>
      </c>
      <c r="C74" s="10" t="str">
        <f>DEC2HEX(Table3[[#This Row],[num]]*2,4)</f>
        <v>0090</v>
      </c>
      <c r="D74" s="11" t="s">
        <v>2117</v>
      </c>
      <c r="E74" s="11" t="s">
        <v>1638</v>
      </c>
      <c r="F74" s="12"/>
      <c r="G74" s="12"/>
      <c r="H74" s="4" t="str">
        <f>CONCATENATE("img",Table3[[#This Row],[name]],"_ofs = $",Table3[[#This Row],[ofs]])</f>
        <v>imgBlobbyDownR_0_ofs = $0090</v>
      </c>
    </row>
    <row r="75" spans="1:8" x14ac:dyDescent="0.25">
      <c r="A75" s="11" t="s">
        <v>1099</v>
      </c>
      <c r="B75" s="5">
        <f t="shared" si="1"/>
        <v>73</v>
      </c>
      <c r="C75" s="10" t="str">
        <f>DEC2HEX(Table3[[#This Row],[num]]*2,4)</f>
        <v>0092</v>
      </c>
      <c r="D75" s="11" t="s">
        <v>2118</v>
      </c>
      <c r="E75" s="11" t="s">
        <v>1639</v>
      </c>
      <c r="F75" s="12"/>
      <c r="G75" s="12"/>
      <c r="H75" s="4" t="str">
        <f>CONCATENATE("img",Table3[[#This Row],[name]],"_ofs = $",Table3[[#This Row],[ofs]])</f>
        <v>imgBlobbyDownR_1_ofs = $0092</v>
      </c>
    </row>
    <row r="76" spans="1:8" x14ac:dyDescent="0.25">
      <c r="A76" s="11" t="s">
        <v>1099</v>
      </c>
      <c r="B76" s="5">
        <f t="shared" si="1"/>
        <v>74</v>
      </c>
      <c r="C76" s="10" t="str">
        <f>DEC2HEX(Table3[[#This Row],[num]]*2,4)</f>
        <v>0094</v>
      </c>
      <c r="D76" s="11" t="s">
        <v>2119</v>
      </c>
      <c r="E76" s="11" t="s">
        <v>1640</v>
      </c>
      <c r="F76" s="12"/>
      <c r="G76" s="12"/>
      <c r="H76" s="4" t="str">
        <f>CONCATENATE("img",Table3[[#This Row],[name]],"_ofs = $",Table3[[#This Row],[ofs]])</f>
        <v>imgNeedler_0_ofs = $0094</v>
      </c>
    </row>
    <row r="77" spans="1:8" x14ac:dyDescent="0.25">
      <c r="A77" s="11" t="s">
        <v>1099</v>
      </c>
      <c r="B77" s="5">
        <f t="shared" si="1"/>
        <v>75</v>
      </c>
      <c r="C77" s="10" t="str">
        <f>DEC2HEX(Table3[[#This Row],[num]]*2,4)</f>
        <v>0096</v>
      </c>
      <c r="D77" s="11" t="s">
        <v>2120</v>
      </c>
      <c r="E77" s="11" t="s">
        <v>1641</v>
      </c>
      <c r="F77" s="12"/>
      <c r="G77" s="12"/>
      <c r="H77" s="4" t="str">
        <f>CONCATENATE("img",Table3[[#This Row],[name]],"_ofs = $",Table3[[#This Row],[ofs]])</f>
        <v>imgNeedler_1_ofs = $0096</v>
      </c>
    </row>
    <row r="78" spans="1:8" x14ac:dyDescent="0.25">
      <c r="A78" s="11" t="s">
        <v>1099</v>
      </c>
      <c r="B78" s="5">
        <f t="shared" si="1"/>
        <v>76</v>
      </c>
      <c r="C78" s="10" t="str">
        <f>DEC2HEX(Table3[[#This Row],[num]]*2,4)</f>
        <v>0098</v>
      </c>
      <c r="D78" s="11" t="s">
        <v>2121</v>
      </c>
      <c r="E78" s="11" t="s">
        <v>1642</v>
      </c>
      <c r="F78" s="12"/>
      <c r="G78" s="12"/>
      <c r="H78" s="4" t="str">
        <f>CONCATENATE("img",Table3[[#This Row],[name]],"_ofs = $",Table3[[#This Row],[ofs]])</f>
        <v>imgNeedlerExposed_0_ofs = $0098</v>
      </c>
    </row>
    <row r="79" spans="1:8" x14ac:dyDescent="0.25">
      <c r="A79" s="11" t="s">
        <v>1099</v>
      </c>
      <c r="B79" s="5">
        <f t="shared" si="1"/>
        <v>77</v>
      </c>
      <c r="C79" s="10" t="str">
        <f>DEC2HEX(Table3[[#This Row],[num]]*2,4)</f>
        <v>009A</v>
      </c>
      <c r="D79" s="11" t="s">
        <v>2122</v>
      </c>
      <c r="E79" s="11" t="s">
        <v>1643</v>
      </c>
      <c r="F79" s="12"/>
      <c r="G79" s="12"/>
      <c r="H79" s="4" t="str">
        <f>CONCATENATE("img",Table3[[#This Row],[name]],"_ofs = $",Table3[[#This Row],[ofs]])</f>
        <v>imgNeedlerExposed_1_ofs = $009A</v>
      </c>
    </row>
    <row r="80" spans="1:8" x14ac:dyDescent="0.25">
      <c r="A80" s="11" t="s">
        <v>1099</v>
      </c>
      <c r="B80" s="5">
        <f t="shared" si="1"/>
        <v>78</v>
      </c>
      <c r="C80" s="10" t="str">
        <f>DEC2HEX(Table3[[#This Row],[num]]*2,4)</f>
        <v>009C</v>
      </c>
      <c r="D80" s="11" t="s">
        <v>2123</v>
      </c>
      <c r="E80" s="11" t="s">
        <v>1644</v>
      </c>
      <c r="F80" s="12"/>
      <c r="G80" s="12"/>
      <c r="H80" s="4" t="str">
        <f>CONCATENATE("img",Table3[[#This Row],[name]],"_ofs = $",Table3[[#This Row],[ofs]])</f>
        <v>imgRounderTrapped_0_ofs = $009C</v>
      </c>
    </row>
    <row r="81" spans="1:8" x14ac:dyDescent="0.25">
      <c r="A81" s="11" t="s">
        <v>1099</v>
      </c>
      <c r="B81" s="5">
        <f t="shared" si="1"/>
        <v>79</v>
      </c>
      <c r="C81" s="10" t="str">
        <f>DEC2HEX(Table3[[#This Row],[num]]*2,4)</f>
        <v>009E</v>
      </c>
      <c r="D81" s="11" t="s">
        <v>2124</v>
      </c>
      <c r="E81" s="11" t="s">
        <v>1645</v>
      </c>
      <c r="F81" s="12"/>
      <c r="G81" s="12"/>
      <c r="H81" s="4" t="str">
        <f>CONCATENATE("img",Table3[[#This Row],[name]],"_ofs = $",Table3[[#This Row],[ofs]])</f>
        <v>imgSnaggerL_0_ofs = $009E</v>
      </c>
    </row>
    <row r="82" spans="1:8" x14ac:dyDescent="0.25">
      <c r="A82" s="11" t="s">
        <v>1099</v>
      </c>
      <c r="B82" s="5">
        <f t="shared" si="1"/>
        <v>80</v>
      </c>
      <c r="C82" s="10" t="str">
        <f>DEC2HEX(Table3[[#This Row],[num]]*2,4)</f>
        <v>00A0</v>
      </c>
      <c r="D82" s="11" t="s">
        <v>2125</v>
      </c>
      <c r="E82" s="11" t="s">
        <v>1646</v>
      </c>
      <c r="F82" s="12"/>
      <c r="G82" s="12"/>
      <c r="H82" s="4" t="str">
        <f>CONCATENATE("img",Table3[[#This Row],[name]],"_ofs = $",Table3[[#This Row],[ofs]])</f>
        <v>imgSnaggerL_1_ofs = $00A0</v>
      </c>
    </row>
    <row r="83" spans="1:8" x14ac:dyDescent="0.25">
      <c r="A83" s="11" t="s">
        <v>1099</v>
      </c>
      <c r="B83" s="5">
        <f t="shared" si="1"/>
        <v>81</v>
      </c>
      <c r="C83" s="10" t="str">
        <f>DEC2HEX(Table3[[#This Row],[num]]*2,4)</f>
        <v>00A2</v>
      </c>
      <c r="D83" s="11" t="s">
        <v>2126</v>
      </c>
      <c r="E83" s="11" t="s">
        <v>1647</v>
      </c>
      <c r="F83" s="12"/>
      <c r="G83" s="12"/>
      <c r="H83" s="4" t="str">
        <f>CONCATENATE("img",Table3[[#This Row],[name]],"_ofs = $",Table3[[#This Row],[ofs]])</f>
        <v>imgSnaggerAttackL_0_ofs = $00A2</v>
      </c>
    </row>
    <row r="84" spans="1:8" x14ac:dyDescent="0.25">
      <c r="A84" s="11" t="s">
        <v>1099</v>
      </c>
      <c r="B84" s="5">
        <f t="shared" si="1"/>
        <v>82</v>
      </c>
      <c r="C84" s="10" t="str">
        <f>DEC2HEX(Table3[[#This Row],[num]]*2,4)</f>
        <v>00A4</v>
      </c>
      <c r="D84" s="11" t="s">
        <v>2127</v>
      </c>
      <c r="E84" s="11" t="s">
        <v>1648</v>
      </c>
      <c r="F84" s="12"/>
      <c r="G84" s="12"/>
      <c r="H84" s="4" t="str">
        <f>CONCATENATE("img",Table3[[#This Row],[name]],"_ofs = $",Table3[[#This Row],[ofs]])</f>
        <v>imgSnaggerAttackL_1_ofs = $00A4</v>
      </c>
    </row>
    <row r="85" spans="1:8" x14ac:dyDescent="0.25">
      <c r="A85" s="11" t="s">
        <v>1099</v>
      </c>
      <c r="B85" s="5">
        <f t="shared" si="1"/>
        <v>83</v>
      </c>
      <c r="C85" s="10" t="str">
        <f>DEC2HEX(Table3[[#This Row],[num]]*2,4)</f>
        <v>00A6</v>
      </c>
      <c r="D85" s="11" t="s">
        <v>2128</v>
      </c>
      <c r="E85" s="11" t="s">
        <v>1649</v>
      </c>
      <c r="F85" s="12"/>
      <c r="G85" s="12"/>
      <c r="H85" s="4" t="str">
        <f>CONCATENATE("img",Table3[[#This Row],[name]],"_ofs = $",Table3[[#This Row],[ofs]])</f>
        <v>imgSnaggerAttackL_2_ofs = $00A6</v>
      </c>
    </row>
    <row r="86" spans="1:8" x14ac:dyDescent="0.25">
      <c r="A86" s="11" t="s">
        <v>1099</v>
      </c>
      <c r="B86" s="5">
        <f t="shared" si="1"/>
        <v>84</v>
      </c>
      <c r="C86" s="10" t="str">
        <f>DEC2HEX(Table3[[#This Row],[num]]*2,4)</f>
        <v>00A8</v>
      </c>
      <c r="D86" s="11" t="s">
        <v>2129</v>
      </c>
      <c r="E86" s="11" t="s">
        <v>1650</v>
      </c>
      <c r="F86" s="12"/>
      <c r="G86" s="12"/>
      <c r="H86" s="4" t="str">
        <f>CONCATENATE("img",Table3[[#This Row],[name]],"_ofs = $",Table3[[#This Row],[ofs]])</f>
        <v>imgSnaggerR_0_ofs = $00A8</v>
      </c>
    </row>
    <row r="87" spans="1:8" x14ac:dyDescent="0.25">
      <c r="A87" s="11" t="s">
        <v>1099</v>
      </c>
      <c r="B87" s="5">
        <f t="shared" si="1"/>
        <v>85</v>
      </c>
      <c r="C87" s="10" t="str">
        <f>DEC2HEX(Table3[[#This Row],[num]]*2,4)</f>
        <v>00AA</v>
      </c>
      <c r="D87" s="11" t="s">
        <v>2130</v>
      </c>
      <c r="E87" s="11" t="s">
        <v>1651</v>
      </c>
      <c r="F87" s="12"/>
      <c r="G87" s="12"/>
      <c r="H87" s="4" t="str">
        <f>CONCATENATE("img",Table3[[#This Row],[name]],"_ofs = $",Table3[[#This Row],[ofs]])</f>
        <v>imgSnaggerR_1_ofs = $00AA</v>
      </c>
    </row>
    <row r="88" spans="1:8" x14ac:dyDescent="0.25">
      <c r="A88" s="11" t="s">
        <v>1099</v>
      </c>
      <c r="B88" s="5">
        <f t="shared" si="1"/>
        <v>86</v>
      </c>
      <c r="C88" s="10" t="str">
        <f>DEC2HEX(Table3[[#This Row],[num]]*2,4)</f>
        <v>00AC</v>
      </c>
      <c r="D88" s="11" t="s">
        <v>2131</v>
      </c>
      <c r="E88" s="11" t="s">
        <v>1652</v>
      </c>
      <c r="F88" s="12"/>
      <c r="G88" s="12"/>
      <c r="H88" s="4" t="str">
        <f>CONCATENATE("img",Table3[[#This Row],[name]],"_ofs = $",Table3[[#This Row],[ofs]])</f>
        <v>imgSnaggerAttackR_0_ofs = $00AC</v>
      </c>
    </row>
    <row r="89" spans="1:8" x14ac:dyDescent="0.25">
      <c r="A89" s="11" t="s">
        <v>1099</v>
      </c>
      <c r="B89" s="5">
        <f t="shared" si="1"/>
        <v>87</v>
      </c>
      <c r="C89" s="10" t="str">
        <f>DEC2HEX(Table3[[#This Row],[num]]*2,4)</f>
        <v>00AE</v>
      </c>
      <c r="D89" s="11" t="s">
        <v>2132</v>
      </c>
      <c r="E89" s="11" t="s">
        <v>1653</v>
      </c>
      <c r="F89" s="12"/>
      <c r="G89" s="12"/>
      <c r="H89" s="4" t="str">
        <f>CONCATENATE("img",Table3[[#This Row],[name]],"_ofs = $",Table3[[#This Row],[ofs]])</f>
        <v>imgSnaggerAttackR_1_ofs = $00AE</v>
      </c>
    </row>
    <row r="90" spans="1:8" x14ac:dyDescent="0.25">
      <c r="A90" s="11" t="s">
        <v>1099</v>
      </c>
      <c r="B90" s="5">
        <f t="shared" si="1"/>
        <v>88</v>
      </c>
      <c r="C90" s="10" t="str">
        <f>DEC2HEX(Table3[[#This Row],[num]]*2,4)</f>
        <v>00B0</v>
      </c>
      <c r="D90" s="11" t="s">
        <v>2133</v>
      </c>
      <c r="E90" s="11" t="s">
        <v>1654</v>
      </c>
      <c r="F90" s="12"/>
      <c r="G90" s="12"/>
      <c r="H90" s="4" t="str">
        <f>CONCATENATE("img",Table3[[#This Row],[name]],"_ofs = $",Table3[[#This Row],[ofs]])</f>
        <v>imgSnaggerAttackR_2_ofs = $00B0</v>
      </c>
    </row>
    <row r="91" spans="1:8" x14ac:dyDescent="0.25">
      <c r="A91" s="11" t="s">
        <v>1099</v>
      </c>
      <c r="B91" s="5">
        <f t="shared" si="1"/>
        <v>89</v>
      </c>
      <c r="C91" s="10" t="str">
        <f>DEC2HEX(Table3[[#This Row],[num]]*2,4)</f>
        <v>00B2</v>
      </c>
      <c r="D91" s="11" t="s">
        <v>2134</v>
      </c>
      <c r="E91" s="11" t="s">
        <v>1655</v>
      </c>
      <c r="F91" s="12"/>
      <c r="G91" s="12"/>
      <c r="H91" s="4" t="str">
        <f>CONCATENATE("img",Table3[[#This Row],[name]],"_ofs = $",Table3[[#This Row],[ofs]])</f>
        <v>imgPlayerRotateR_2_ofs = $00B2</v>
      </c>
    </row>
    <row r="92" spans="1:8" x14ac:dyDescent="0.25">
      <c r="A92" s="11" t="s">
        <v>1099</v>
      </c>
      <c r="B92" s="5">
        <f t="shared" si="1"/>
        <v>90</v>
      </c>
      <c r="C92" s="10" t="str">
        <f>DEC2HEX(Table3[[#This Row],[num]]*2,4)</f>
        <v>00B4</v>
      </c>
      <c r="D92" s="11" t="s">
        <v>2135</v>
      </c>
      <c r="E92" s="11" t="s">
        <v>1656</v>
      </c>
      <c r="F92" s="12"/>
      <c r="G92" s="12"/>
      <c r="H92" s="4" t="str">
        <f>CONCATENATE("img",Table3[[#This Row],[name]],"_ofs = $",Table3[[#This Row],[ofs]])</f>
        <v>imgPlayerRotateL_2_ofs = $00B4</v>
      </c>
    </row>
    <row r="93" spans="1:8" x14ac:dyDescent="0.25">
      <c r="A93" s="11" t="s">
        <v>1099</v>
      </c>
      <c r="B93" s="5">
        <f t="shared" si="1"/>
        <v>91</v>
      </c>
      <c r="C93" s="10" t="str">
        <f>DEC2HEX(Table3[[#This Row],[num]]*2,4)</f>
        <v>00B6</v>
      </c>
      <c r="D93" s="11" t="s">
        <v>2136</v>
      </c>
      <c r="E93" s="11" t="s">
        <v>1657</v>
      </c>
      <c r="F93" s="12"/>
      <c r="G93" s="12"/>
      <c r="H93" s="4" t="str">
        <f>CONCATENATE("img",Table3[[#This Row],[name]],"_ofs = $",Table3[[#This Row],[ofs]])</f>
        <v>imgInvaderBeam_0_ofs = $00B6</v>
      </c>
    </row>
    <row r="94" spans="1:8" x14ac:dyDescent="0.25">
      <c r="A94" s="11" t="s">
        <v>1099</v>
      </c>
      <c r="B94" s="5">
        <f t="shared" si="1"/>
        <v>92</v>
      </c>
      <c r="C94" s="10" t="str">
        <f>DEC2HEX(Table3[[#This Row],[num]]*2,4)</f>
        <v>00B8</v>
      </c>
      <c r="D94" s="11" t="s">
        <v>2137</v>
      </c>
      <c r="E94" s="11" t="s">
        <v>1658</v>
      </c>
      <c r="F94" s="12"/>
      <c r="G94" s="12"/>
      <c r="H94" s="4" t="str">
        <f>CONCATENATE("img",Table3[[#This Row],[name]],"_ofs = $",Table3[[#This Row],[ofs]])</f>
        <v>imgInvaderBeam_1_ofs = $00B8</v>
      </c>
    </row>
    <row r="95" spans="1:8" x14ac:dyDescent="0.25">
      <c r="A95" s="11" t="s">
        <v>1099</v>
      </c>
      <c r="B95" s="5">
        <f t="shared" si="1"/>
        <v>93</v>
      </c>
      <c r="C95" s="10" t="str">
        <f>DEC2HEX(Table3[[#This Row],[num]]*2,4)</f>
        <v>00BA</v>
      </c>
      <c r="D95" s="11" t="s">
        <v>2138</v>
      </c>
      <c r="E95" s="11" t="s">
        <v>1659</v>
      </c>
      <c r="F95" s="12"/>
      <c r="G95" s="12"/>
      <c r="H95" s="4" t="str">
        <f>CONCATENATE("img",Table3[[#This Row],[name]],"_ofs = $",Table3[[#This Row],[ofs]])</f>
        <v>imgCarryHeliL_0_ofs = $00BA</v>
      </c>
    </row>
    <row r="96" spans="1:8" x14ac:dyDescent="0.25">
      <c r="A96" s="11" t="s">
        <v>1099</v>
      </c>
      <c r="B96" s="5">
        <f t="shared" si="1"/>
        <v>94</v>
      </c>
      <c r="C96" s="10" t="str">
        <f>DEC2HEX(Table3[[#This Row],[num]]*2,4)</f>
        <v>00BC</v>
      </c>
      <c r="D96" s="11" t="s">
        <v>2139</v>
      </c>
      <c r="E96" s="11" t="s">
        <v>1660</v>
      </c>
      <c r="F96" s="12"/>
      <c r="G96" s="12"/>
      <c r="H96" s="4" t="str">
        <f>CONCATENATE("img",Table3[[#This Row],[name]],"_ofs = $",Table3[[#This Row],[ofs]])</f>
        <v>imgCarryHeliL_1_ofs = $00BC</v>
      </c>
    </row>
    <row r="97" spans="1:8" x14ac:dyDescent="0.25">
      <c r="A97" s="11" t="s">
        <v>1099</v>
      </c>
      <c r="B97" s="5">
        <f t="shared" si="1"/>
        <v>95</v>
      </c>
      <c r="C97" s="10" t="str">
        <f>DEC2HEX(Table3[[#This Row],[num]]*2,4)</f>
        <v>00BE</v>
      </c>
      <c r="D97" s="11" t="s">
        <v>2140</v>
      </c>
      <c r="E97" s="11" t="s">
        <v>1661</v>
      </c>
      <c r="F97" s="12"/>
      <c r="G97" s="12"/>
      <c r="H97" s="4" t="str">
        <f>CONCATENATE("img",Table3[[#This Row],[name]],"_ofs = $",Table3[[#This Row],[ofs]])</f>
        <v>imgCarryHeliOpenL_0_ofs = $00BE</v>
      </c>
    </row>
    <row r="98" spans="1:8" x14ac:dyDescent="0.25">
      <c r="A98" s="11" t="s">
        <v>1099</v>
      </c>
      <c r="B98" s="5">
        <f t="shared" si="1"/>
        <v>96</v>
      </c>
      <c r="C98" s="10" t="str">
        <f>DEC2HEX(Table3[[#This Row],[num]]*2,4)</f>
        <v>00C0</v>
      </c>
      <c r="D98" s="11" t="s">
        <v>2141</v>
      </c>
      <c r="E98" s="11" t="s">
        <v>1662</v>
      </c>
      <c r="F98" s="12"/>
      <c r="G98" s="12"/>
      <c r="H98" s="4" t="str">
        <f>CONCATENATE("img",Table3[[#This Row],[name]],"_ofs = $",Table3[[#This Row],[ofs]])</f>
        <v>imgCarryHeliOpenL_1_ofs = $00C0</v>
      </c>
    </row>
    <row r="99" spans="1:8" x14ac:dyDescent="0.25">
      <c r="A99" s="11" t="s">
        <v>1099</v>
      </c>
      <c r="B99" s="5">
        <f t="shared" si="1"/>
        <v>97</v>
      </c>
      <c r="C99" s="10" t="str">
        <f>DEC2HEX(Table3[[#This Row],[num]]*2,4)</f>
        <v>00C2</v>
      </c>
      <c r="D99" s="11" t="s">
        <v>2142</v>
      </c>
      <c r="E99" s="11" t="s">
        <v>1663</v>
      </c>
      <c r="F99" s="12"/>
      <c r="G99" s="12"/>
      <c r="H99" s="4" t="str">
        <f>CONCATENATE("img",Table3[[#This Row],[name]],"_ofs = $",Table3[[#This Row],[ofs]])</f>
        <v>imgCarryHeliR_0_ofs = $00C2</v>
      </c>
    </row>
    <row r="100" spans="1:8" x14ac:dyDescent="0.25">
      <c r="A100" s="11" t="s">
        <v>1099</v>
      </c>
      <c r="B100" s="5">
        <f t="shared" si="1"/>
        <v>98</v>
      </c>
      <c r="C100" s="10" t="str">
        <f>DEC2HEX(Table3[[#This Row],[num]]*2,4)</f>
        <v>00C4</v>
      </c>
      <c r="D100" s="11" t="s">
        <v>2143</v>
      </c>
      <c r="E100" s="11" t="s">
        <v>1664</v>
      </c>
      <c r="F100" s="12"/>
      <c r="G100" s="12"/>
      <c r="H100" s="4" t="str">
        <f>CONCATENATE("img",Table3[[#This Row],[name]],"_ofs = $",Table3[[#This Row],[ofs]])</f>
        <v>imgCarryHeliR_1_ofs = $00C4</v>
      </c>
    </row>
    <row r="101" spans="1:8" x14ac:dyDescent="0.25">
      <c r="A101" s="11" t="s">
        <v>1099</v>
      </c>
      <c r="B101" s="5">
        <f t="shared" si="1"/>
        <v>99</v>
      </c>
      <c r="C101" s="10" t="str">
        <f>DEC2HEX(Table3[[#This Row],[num]]*2,4)</f>
        <v>00C6</v>
      </c>
      <c r="D101" s="11" t="s">
        <v>2144</v>
      </c>
      <c r="E101" s="11" t="s">
        <v>1665</v>
      </c>
      <c r="F101" s="12"/>
      <c r="G101" s="12"/>
      <c r="H101" s="4" t="str">
        <f>CONCATENATE("img",Table3[[#This Row],[name]],"_ofs = $",Table3[[#This Row],[ofs]])</f>
        <v>imgCarryHeliOpenR_0_ofs = $00C6</v>
      </c>
    </row>
    <row r="102" spans="1:8" x14ac:dyDescent="0.25">
      <c r="A102" s="11" t="s">
        <v>1099</v>
      </c>
      <c r="B102" s="5">
        <f t="shared" si="1"/>
        <v>100</v>
      </c>
      <c r="C102" s="10" t="str">
        <f>DEC2HEX(Table3[[#This Row],[num]]*2,4)</f>
        <v>00C8</v>
      </c>
      <c r="D102" s="11" t="s">
        <v>2145</v>
      </c>
      <c r="E102" s="11" t="s">
        <v>1666</v>
      </c>
      <c r="F102" s="12"/>
      <c r="G102" s="12"/>
      <c r="H102" s="4" t="str">
        <f>CONCATENATE("img",Table3[[#This Row],[name]],"_ofs = $",Table3[[#This Row],[ofs]])</f>
        <v>imgCarryHeliOpenR_1_ofs = $00C8</v>
      </c>
    </row>
    <row r="103" spans="1:8" x14ac:dyDescent="0.25">
      <c r="A103" s="11" t="s">
        <v>1099</v>
      </c>
      <c r="B103" s="5">
        <f t="shared" si="1"/>
        <v>101</v>
      </c>
      <c r="C103" s="10" t="str">
        <f>DEC2HEX(Table3[[#This Row],[num]]*2,4)</f>
        <v>00CA</v>
      </c>
      <c r="D103" s="11" t="s">
        <v>2146</v>
      </c>
      <c r="E103" s="11" t="s">
        <v>876</v>
      </c>
      <c r="F103" s="12"/>
      <c r="G103" s="12"/>
      <c r="H103" s="4" t="str">
        <f>CONCATENATE("img",Table3[[#This Row],[name]],"_ofs = $",Table3[[#This Row],[ofs]])</f>
        <v>imgCarryHeliDieL_ofs = $00CA</v>
      </c>
    </row>
    <row r="104" spans="1:8" x14ac:dyDescent="0.25">
      <c r="A104" s="11" t="s">
        <v>1099</v>
      </c>
      <c r="B104" s="5">
        <f t="shared" si="1"/>
        <v>102</v>
      </c>
      <c r="C104" s="10" t="str">
        <f>DEC2HEX(Table3[[#This Row],[num]]*2,4)</f>
        <v>00CC</v>
      </c>
      <c r="D104" s="11" t="s">
        <v>2147</v>
      </c>
      <c r="E104" s="11" t="s">
        <v>877</v>
      </c>
      <c r="F104" s="12"/>
      <c r="G104" s="12"/>
      <c r="H104" s="4" t="str">
        <f>CONCATENATE("img",Table3[[#This Row],[name]],"_ofs = $",Table3[[#This Row],[ofs]])</f>
        <v>imgCarryHeliDieR_ofs = $00CC</v>
      </c>
    </row>
    <row r="105" spans="1:8" x14ac:dyDescent="0.25">
      <c r="A105" s="11" t="s">
        <v>1099</v>
      </c>
      <c r="B105" s="5">
        <f t="shared" si="1"/>
        <v>103</v>
      </c>
      <c r="C105" s="10" t="str">
        <f>DEC2HEX(Table3[[#This Row],[num]]*2,4)</f>
        <v>00CE</v>
      </c>
      <c r="D105" s="11" t="s">
        <v>2148</v>
      </c>
      <c r="E105" s="11" t="s">
        <v>1667</v>
      </c>
      <c r="F105" s="12"/>
      <c r="G105" s="12"/>
      <c r="H105" s="4" t="str">
        <f>CONCATENATE("img",Table3[[#This Row],[name]],"_ofs = $",Table3[[#This Row],[ofs]])</f>
        <v>imgFlarion_0_ofs = $00CE</v>
      </c>
    </row>
    <row r="106" spans="1:8" x14ac:dyDescent="0.25">
      <c r="A106" s="11" t="s">
        <v>1099</v>
      </c>
      <c r="B106" s="5">
        <f t="shared" si="1"/>
        <v>104</v>
      </c>
      <c r="C106" s="10" t="str">
        <f>DEC2HEX(Table3[[#This Row],[num]]*2,4)</f>
        <v>00D0</v>
      </c>
      <c r="D106" s="11" t="s">
        <v>2149</v>
      </c>
      <c r="E106" s="11" t="s">
        <v>1668</v>
      </c>
      <c r="F106" s="12"/>
      <c r="G106" s="12"/>
      <c r="H106" s="4" t="str">
        <f>CONCATENATE("img",Table3[[#This Row],[name]],"_ofs = $",Table3[[#This Row],[ofs]])</f>
        <v>imgFlarionShrunk_0_ofs = $00D0</v>
      </c>
    </row>
    <row r="107" spans="1:8" x14ac:dyDescent="0.25">
      <c r="A107" s="11" t="s">
        <v>1099</v>
      </c>
      <c r="B107" s="5">
        <f t="shared" si="1"/>
        <v>105</v>
      </c>
      <c r="C107" s="10" t="str">
        <f>DEC2HEX(Table3[[#This Row],[num]]*2,4)</f>
        <v>00D2</v>
      </c>
      <c r="D107" s="11" t="s">
        <v>2150</v>
      </c>
      <c r="E107" s="11" t="s">
        <v>1669</v>
      </c>
      <c r="F107" s="12"/>
      <c r="G107" s="12"/>
      <c r="H107" s="4" t="str">
        <f>CONCATENATE("img",Table3[[#This Row],[name]],"_ofs = $",Table3[[#This Row],[ofs]])</f>
        <v>imgFlarionSmall_0_ofs = $00D2</v>
      </c>
    </row>
    <row r="108" spans="1:8" x14ac:dyDescent="0.25">
      <c r="A108" s="11" t="s">
        <v>1099</v>
      </c>
      <c r="B108" s="5">
        <f t="shared" si="1"/>
        <v>106</v>
      </c>
      <c r="C108" s="10" t="str">
        <f>DEC2HEX(Table3[[#This Row],[num]]*2,4)</f>
        <v>00D4</v>
      </c>
      <c r="D108" s="11" t="s">
        <v>2151</v>
      </c>
      <c r="E108" s="11" t="s">
        <v>1670</v>
      </c>
      <c r="F108" s="12"/>
      <c r="G108" s="12"/>
      <c r="H108" s="4" t="str">
        <f>CONCATENATE("img",Table3[[#This Row],[name]],"_ofs = $",Table3[[#This Row],[ofs]])</f>
        <v>imgFlarionSmaller_0_ofs = $00D4</v>
      </c>
    </row>
    <row r="109" spans="1:8" x14ac:dyDescent="0.25">
      <c r="A109" s="11" t="s">
        <v>1099</v>
      </c>
      <c r="B109" s="5">
        <f t="shared" si="1"/>
        <v>107</v>
      </c>
      <c r="C109" s="10" t="str">
        <f>DEC2HEX(Table3[[#This Row],[num]]*2,4)</f>
        <v>00D6</v>
      </c>
      <c r="D109" s="11" t="s">
        <v>2152</v>
      </c>
      <c r="E109" s="11" t="s">
        <v>1671</v>
      </c>
      <c r="F109" s="12"/>
      <c r="G109" s="12"/>
      <c r="H109" s="4" t="str">
        <f>CONCATENATE("img",Table3[[#This Row],[name]],"_ofs = $",Table3[[#This Row],[ofs]])</f>
        <v>imgFlarionSmallest_0_ofs = $00D6</v>
      </c>
    </row>
    <row r="110" spans="1:8" x14ac:dyDescent="0.25">
      <c r="A110" s="11" t="s">
        <v>1099</v>
      </c>
      <c r="B110" s="5">
        <f t="shared" si="1"/>
        <v>108</v>
      </c>
      <c r="C110" s="10" t="str">
        <f>DEC2HEX(Table3[[#This Row],[num]]*2,4)</f>
        <v>00D8</v>
      </c>
      <c r="D110" s="11" t="s">
        <v>2153</v>
      </c>
      <c r="E110" s="11" t="s">
        <v>1672</v>
      </c>
      <c r="F110" s="12"/>
      <c r="G110" s="12"/>
      <c r="H110" s="4" t="str">
        <f>CONCATENATE("img",Table3[[#This Row],[name]],"_ofs = $",Table3[[#This Row],[ofs]])</f>
        <v>imgFlarion_1_ofs = $00D8</v>
      </c>
    </row>
    <row r="111" spans="1:8" x14ac:dyDescent="0.25">
      <c r="A111" s="11" t="s">
        <v>1099</v>
      </c>
      <c r="B111" s="5">
        <f t="shared" si="1"/>
        <v>109</v>
      </c>
      <c r="C111" s="10" t="str">
        <f>DEC2HEX(Table3[[#This Row],[num]]*2,4)</f>
        <v>00DA</v>
      </c>
      <c r="D111" s="11" t="s">
        <v>2154</v>
      </c>
      <c r="E111" s="11" t="s">
        <v>1673</v>
      </c>
      <c r="F111" s="12"/>
      <c r="G111" s="12"/>
      <c r="H111" s="4" t="str">
        <f>CONCATENATE("img",Table3[[#This Row],[name]],"_ofs = $",Table3[[#This Row],[ofs]])</f>
        <v>imgFlarionShrunk_1_ofs = $00DA</v>
      </c>
    </row>
    <row r="112" spans="1:8" x14ac:dyDescent="0.25">
      <c r="A112" s="11" t="s">
        <v>1099</v>
      </c>
      <c r="B112" s="5">
        <f t="shared" si="1"/>
        <v>110</v>
      </c>
      <c r="C112" s="10" t="str">
        <f>DEC2HEX(Table3[[#This Row],[num]]*2,4)</f>
        <v>00DC</v>
      </c>
      <c r="D112" s="11" t="s">
        <v>2155</v>
      </c>
      <c r="E112" s="11" t="s">
        <v>1674</v>
      </c>
      <c r="F112" s="12"/>
      <c r="G112" s="12"/>
      <c r="H112" s="4" t="str">
        <f>CONCATENATE("img",Table3[[#This Row],[name]],"_ofs = $",Table3[[#This Row],[ofs]])</f>
        <v>imgFlarionSmall_1_ofs = $00DC</v>
      </c>
    </row>
    <row r="113" spans="1:8" x14ac:dyDescent="0.25">
      <c r="A113" s="11" t="s">
        <v>1099</v>
      </c>
      <c r="B113" s="5">
        <f t="shared" si="1"/>
        <v>111</v>
      </c>
      <c r="C113" s="10" t="str">
        <f>DEC2HEX(Table3[[#This Row],[num]]*2,4)</f>
        <v>00DE</v>
      </c>
      <c r="D113" s="11" t="s">
        <v>2156</v>
      </c>
      <c r="E113" s="11" t="s">
        <v>1675</v>
      </c>
      <c r="F113" s="12"/>
      <c r="G113" s="12"/>
      <c r="H113" s="4" t="str">
        <f>CONCATENATE("img",Table3[[#This Row],[name]],"_ofs = $",Table3[[#This Row],[ofs]])</f>
        <v>imgFlarionSmaller_1_ofs = $00DE</v>
      </c>
    </row>
    <row r="114" spans="1:8" x14ac:dyDescent="0.25">
      <c r="A114" s="11" t="s">
        <v>1099</v>
      </c>
      <c r="B114" s="5">
        <f t="shared" si="1"/>
        <v>112</v>
      </c>
      <c r="C114" s="10" t="str">
        <f>DEC2HEX(Table3[[#This Row],[num]]*2,4)</f>
        <v>00E0</v>
      </c>
      <c r="D114" s="11" t="s">
        <v>2157</v>
      </c>
      <c r="E114" s="11" t="s">
        <v>1676</v>
      </c>
      <c r="F114" s="12"/>
      <c r="G114" s="12"/>
      <c r="H114" s="4" t="str">
        <f>CONCATENATE("img",Table3[[#This Row],[name]],"_ofs = $",Table3[[#This Row],[ofs]])</f>
        <v>imgFlarionSmallest_1_ofs = $00E0</v>
      </c>
    </row>
    <row r="115" spans="1:8" x14ac:dyDescent="0.25">
      <c r="A115" s="11" t="s">
        <v>1099</v>
      </c>
      <c r="B115" s="5">
        <f t="shared" si="1"/>
        <v>113</v>
      </c>
      <c r="C115" s="10" t="str">
        <f>DEC2HEX(Table3[[#This Row],[num]]*2,4)</f>
        <v>00E2</v>
      </c>
      <c r="D115" s="11" t="s">
        <v>2158</v>
      </c>
      <c r="E115" s="11" t="s">
        <v>1677</v>
      </c>
      <c r="F115" s="12"/>
      <c r="G115" s="12"/>
      <c r="H115" s="4" t="str">
        <f>CONCATENATE("img",Table3[[#This Row],[name]],"_ofs = $",Table3[[#This Row],[ofs]])</f>
        <v>imgFlarionFlame_0_ofs = $00E2</v>
      </c>
    </row>
    <row r="116" spans="1:8" x14ac:dyDescent="0.25">
      <c r="A116" s="11" t="s">
        <v>1099</v>
      </c>
      <c r="B116" s="5">
        <f t="shared" si="1"/>
        <v>114</v>
      </c>
      <c r="C116" s="10" t="str">
        <f>DEC2HEX(Table3[[#This Row],[num]]*2,4)</f>
        <v>00E4</v>
      </c>
      <c r="D116" s="11" t="s">
        <v>2159</v>
      </c>
      <c r="E116" s="11" t="s">
        <v>1678</v>
      </c>
      <c r="F116" s="12"/>
      <c r="G116" s="12"/>
      <c r="H116" s="4" t="str">
        <f>CONCATENATE("img",Table3[[#This Row],[name]],"_ofs = $",Table3[[#This Row],[ofs]])</f>
        <v>imgManticharL_0_ofs = $00E4</v>
      </c>
    </row>
    <row r="117" spans="1:8" x14ac:dyDescent="0.25">
      <c r="A117" s="11" t="s">
        <v>1099</v>
      </c>
      <c r="B117" s="5">
        <f t="shared" si="1"/>
        <v>115</v>
      </c>
      <c r="C117" s="10" t="str">
        <f>DEC2HEX(Table3[[#This Row],[num]]*2,4)</f>
        <v>00E6</v>
      </c>
      <c r="D117" s="11" t="s">
        <v>2160</v>
      </c>
      <c r="E117" s="11" t="s">
        <v>1679</v>
      </c>
      <c r="F117" s="12"/>
      <c r="G117" s="12"/>
      <c r="H117" s="4" t="str">
        <f>CONCATENATE("img",Table3[[#This Row],[name]],"_ofs = $",Table3[[#This Row],[ofs]])</f>
        <v>imgManticharL_1_ofs = $00E6</v>
      </c>
    </row>
    <row r="118" spans="1:8" x14ac:dyDescent="0.25">
      <c r="A118" s="11" t="s">
        <v>1099</v>
      </c>
      <c r="B118" s="5">
        <f t="shared" si="1"/>
        <v>116</v>
      </c>
      <c r="C118" s="10" t="str">
        <f>DEC2HEX(Table3[[#This Row],[num]]*2,4)</f>
        <v>00E8</v>
      </c>
      <c r="D118" s="11" t="s">
        <v>2161</v>
      </c>
      <c r="E118" s="11" t="s">
        <v>1680</v>
      </c>
      <c r="F118" s="12"/>
      <c r="G118" s="12"/>
      <c r="H118" s="4" t="str">
        <f>CONCATENATE("img",Table3[[#This Row],[name]],"_ofs = $",Table3[[#This Row],[ofs]])</f>
        <v>imgManticharL_2_ofs = $00E8</v>
      </c>
    </row>
    <row r="119" spans="1:8" x14ac:dyDescent="0.25">
      <c r="A119" s="11" t="s">
        <v>1099</v>
      </c>
      <c r="B119" s="5">
        <f t="shared" si="1"/>
        <v>117</v>
      </c>
      <c r="C119" s="10" t="str">
        <f>DEC2HEX(Table3[[#This Row],[num]]*2,4)</f>
        <v>00EA</v>
      </c>
      <c r="D119" s="11" t="s">
        <v>2162</v>
      </c>
      <c r="E119" s="11" t="s">
        <v>1681</v>
      </c>
      <c r="F119" s="12"/>
      <c r="G119" s="12"/>
      <c r="H119" s="4" t="str">
        <f>CONCATENATE("img",Table3[[#This Row],[name]],"_ofs = $",Table3[[#This Row],[ofs]])</f>
        <v>imgManticharR_0_ofs = $00EA</v>
      </c>
    </row>
    <row r="120" spans="1:8" x14ac:dyDescent="0.25">
      <c r="A120" s="11" t="s">
        <v>1099</v>
      </c>
      <c r="B120" s="5">
        <f t="shared" si="1"/>
        <v>118</v>
      </c>
      <c r="C120" s="10" t="str">
        <f>DEC2HEX(Table3[[#This Row],[num]]*2,4)</f>
        <v>00EC</v>
      </c>
      <c r="D120" s="11" t="s">
        <v>2163</v>
      </c>
      <c r="E120" s="11" t="s">
        <v>1682</v>
      </c>
      <c r="F120" s="12"/>
      <c r="G120" s="12"/>
      <c r="H120" s="4" t="str">
        <f>CONCATENATE("img",Table3[[#This Row],[name]],"_ofs = $",Table3[[#This Row],[ofs]])</f>
        <v>imgManticharR_1_ofs = $00EC</v>
      </c>
    </row>
    <row r="121" spans="1:8" x14ac:dyDescent="0.25">
      <c r="A121" s="11" t="s">
        <v>1099</v>
      </c>
      <c r="B121" s="5">
        <f t="shared" si="1"/>
        <v>119</v>
      </c>
      <c r="C121" s="10" t="str">
        <f>DEC2HEX(Table3[[#This Row],[num]]*2,4)</f>
        <v>00EE</v>
      </c>
      <c r="D121" s="11" t="s">
        <v>2164</v>
      </c>
      <c r="E121" s="11" t="s">
        <v>1683</v>
      </c>
      <c r="F121" s="12"/>
      <c r="G121" s="12"/>
      <c r="H121" s="4" t="str">
        <f>CONCATENATE("img",Table3[[#This Row],[name]],"_ofs = $",Table3[[#This Row],[ofs]])</f>
        <v>imgManticharR_2_ofs = $00EE</v>
      </c>
    </row>
    <row r="122" spans="1:8" x14ac:dyDescent="0.25">
      <c r="A122" s="11" t="s">
        <v>1099</v>
      </c>
      <c r="B122" s="5">
        <f t="shared" si="1"/>
        <v>120</v>
      </c>
      <c r="C122" s="10" t="str">
        <f>DEC2HEX(Table3[[#This Row],[num]]*2,4)</f>
        <v>00F0</v>
      </c>
      <c r="D122" s="11" t="s">
        <v>2165</v>
      </c>
      <c r="E122" s="11" t="s">
        <v>1684</v>
      </c>
      <c r="F122" s="12"/>
      <c r="G122" s="12"/>
      <c r="H122" s="4" t="str">
        <f>CONCATENATE("img",Table3[[#This Row],[name]],"_ofs = $",Table3[[#This Row],[ofs]])</f>
        <v>imgManticharAngryL_1_ofs = $00F0</v>
      </c>
    </row>
    <row r="123" spans="1:8" x14ac:dyDescent="0.25">
      <c r="A123" s="11" t="s">
        <v>1099</v>
      </c>
      <c r="B123" s="5">
        <f t="shared" si="1"/>
        <v>121</v>
      </c>
      <c r="C123" s="10" t="str">
        <f>DEC2HEX(Table3[[#This Row],[num]]*2,4)</f>
        <v>00F2</v>
      </c>
      <c r="D123" s="11" t="s">
        <v>2166</v>
      </c>
      <c r="E123" s="11" t="s">
        <v>1685</v>
      </c>
      <c r="F123" s="12"/>
      <c r="G123" s="12"/>
      <c r="H123" s="4" t="str">
        <f>CONCATENATE("img",Table3[[#This Row],[name]],"_ofs = $",Table3[[#This Row],[ofs]])</f>
        <v>imgManticharAngryR_1_ofs = $00F2</v>
      </c>
    </row>
    <row r="124" spans="1:8" x14ac:dyDescent="0.25">
      <c r="A124" s="11" t="s">
        <v>1099</v>
      </c>
      <c r="B124" s="5">
        <f t="shared" si="1"/>
        <v>122</v>
      </c>
      <c r="C124" s="10" t="str">
        <f>DEC2HEX(Table3[[#This Row],[num]]*2,4)</f>
        <v>00F4</v>
      </c>
      <c r="D124" s="11" t="s">
        <v>2167</v>
      </c>
      <c r="E124" s="11" t="s">
        <v>1686</v>
      </c>
      <c r="F124" s="12"/>
      <c r="G124" s="12"/>
      <c r="H124" s="4" t="str">
        <f>CONCATENATE("img",Table3[[#This Row],[name]],"_ofs = $",Table3[[#This Row],[ofs]])</f>
        <v>imgFlames2_0_ofs = $00F4</v>
      </c>
    </row>
    <row r="125" spans="1:8" x14ac:dyDescent="0.25">
      <c r="A125" s="11" t="s">
        <v>1099</v>
      </c>
      <c r="B125" s="5">
        <f t="shared" si="1"/>
        <v>123</v>
      </c>
      <c r="C125" s="10" t="str">
        <f>DEC2HEX(Table3[[#This Row],[num]]*2,4)</f>
        <v>00F6</v>
      </c>
      <c r="D125" s="11" t="s">
        <v>2168</v>
      </c>
      <c r="E125" s="11" t="s">
        <v>1687</v>
      </c>
      <c r="F125" s="12"/>
      <c r="G125" s="12"/>
      <c r="H125" s="4" t="str">
        <f>CONCATENATE("img",Table3[[#This Row],[name]],"_ofs = $",Table3[[#This Row],[ofs]])</f>
        <v>imgFlames2L_0_ofs = $00F6</v>
      </c>
    </row>
    <row r="126" spans="1:8" x14ac:dyDescent="0.25">
      <c r="A126" s="11" t="s">
        <v>1099</v>
      </c>
      <c r="B126" s="5">
        <f t="shared" si="1"/>
        <v>124</v>
      </c>
      <c r="C126" s="10" t="str">
        <f>DEC2HEX(Table3[[#This Row],[num]]*2,4)</f>
        <v>00F8</v>
      </c>
      <c r="D126" s="11" t="s">
        <v>2169</v>
      </c>
      <c r="E126" s="11" t="s">
        <v>1688</v>
      </c>
      <c r="F126" s="12"/>
      <c r="G126" s="12"/>
      <c r="H126" s="4" t="str">
        <f>CONCATENATE("img",Table3[[#This Row],[name]],"_ofs = $",Table3[[#This Row],[ofs]])</f>
        <v>imgFlames3_0_ofs = $00F8</v>
      </c>
    </row>
    <row r="127" spans="1:8" x14ac:dyDescent="0.25">
      <c r="A127" s="11" t="s">
        <v>1099</v>
      </c>
      <c r="B127" s="5">
        <f t="shared" si="1"/>
        <v>125</v>
      </c>
      <c r="C127" s="10" t="str">
        <f>DEC2HEX(Table3[[#This Row],[num]]*2,4)</f>
        <v>00FA</v>
      </c>
      <c r="D127" s="11" t="s">
        <v>2170</v>
      </c>
      <c r="E127" s="11" t="s">
        <v>1689</v>
      </c>
      <c r="F127" s="12"/>
      <c r="G127" s="12"/>
      <c r="H127" s="4" t="str">
        <f>CONCATENATE("img",Table3[[#This Row],[name]],"_ofs = $",Table3[[#This Row],[ofs]])</f>
        <v>imgFlames3R_0_ofs = $00FA</v>
      </c>
    </row>
    <row r="128" spans="1:8" x14ac:dyDescent="0.25">
      <c r="A128" s="11" t="s">
        <v>1099</v>
      </c>
      <c r="B128" s="5">
        <f t="shared" si="1"/>
        <v>126</v>
      </c>
      <c r="C128" s="10" t="str">
        <f>DEC2HEX(Table3[[#This Row],[num]]*2,4)</f>
        <v>00FC</v>
      </c>
      <c r="D128" s="11" t="s">
        <v>2171</v>
      </c>
      <c r="E128" s="11" t="s">
        <v>973</v>
      </c>
      <c r="F128" s="12"/>
      <c r="G128" s="12"/>
      <c r="H128" s="4" t="str">
        <f>CONCATENATE("img",Table3[[#This Row],[name]],"_ofs = $",Table3[[#This Row],[ofs]])</f>
        <v>imgStarAlt_ofs = $00FC</v>
      </c>
    </row>
    <row r="129" spans="1:8" x14ac:dyDescent="0.25">
      <c r="A129" s="11" t="s">
        <v>1099</v>
      </c>
      <c r="B129" s="5">
        <f t="shared" si="1"/>
        <v>127</v>
      </c>
      <c r="C129" s="10" t="str">
        <f>DEC2HEX(Table3[[#This Row],[num]]*2,4)</f>
        <v>00FE</v>
      </c>
      <c r="D129" s="11" t="s">
        <v>2172</v>
      </c>
      <c r="E129" s="11" t="s">
        <v>1690</v>
      </c>
      <c r="F129" s="12"/>
      <c r="G129" s="12"/>
      <c r="H129" s="4" t="str">
        <f>CONCATENATE("img",Table3[[#This Row],[name]],"_ofs = $",Table3[[#This Row],[ofs]])</f>
        <v>imgUNK122_1_ofs = $00FE</v>
      </c>
    </row>
    <row r="130" spans="1:8" x14ac:dyDescent="0.25">
      <c r="A130" s="11" t="s">
        <v>1099</v>
      </c>
      <c r="B130" s="5">
        <f t="shared" si="1"/>
        <v>128</v>
      </c>
      <c r="C130" s="10" t="str">
        <f>DEC2HEX(Table3[[#This Row],[num]]*2,4)</f>
        <v>0100</v>
      </c>
      <c r="D130" s="11" t="s">
        <v>2173</v>
      </c>
      <c r="E130" s="11" t="s">
        <v>1691</v>
      </c>
      <c r="F130" s="12"/>
      <c r="G130" s="12"/>
      <c r="H130" s="4" t="str">
        <f>CONCATENATE("img",Table3[[#This Row],[name]],"_ofs = $",Table3[[#This Row],[ofs]])</f>
        <v>imgBubble_1_ofs = $0100</v>
      </c>
    </row>
    <row r="131" spans="1:8" x14ac:dyDescent="0.25">
      <c r="A131" s="11" t="s">
        <v>1099</v>
      </c>
      <c r="B131" s="5">
        <f t="shared" si="1"/>
        <v>129</v>
      </c>
      <c r="C131" s="10" t="str">
        <f>DEC2HEX(Table3[[#This Row],[num]]*2,4)</f>
        <v>0102</v>
      </c>
      <c r="D131" s="11" t="s">
        <v>2174</v>
      </c>
      <c r="E131" s="11" t="s">
        <v>1692</v>
      </c>
      <c r="F131" s="12"/>
      <c r="G131" s="12"/>
      <c r="H131" s="4" t="str">
        <f>CONCATENATE("img",Table3[[#This Row],[name]],"_ofs = $",Table3[[#This Row],[ofs]])</f>
        <v>imgPlayerRoundStart_0_ofs = $0102</v>
      </c>
    </row>
    <row r="132" spans="1:8" x14ac:dyDescent="0.25">
      <c r="A132" s="11" t="s">
        <v>1099</v>
      </c>
      <c r="B132" s="5">
        <f t="shared" si="1"/>
        <v>130</v>
      </c>
      <c r="C132" s="10" t="str">
        <f>DEC2HEX(Table3[[#This Row],[num]]*2,4)</f>
        <v>0104</v>
      </c>
      <c r="D132" s="11" t="s">
        <v>2175</v>
      </c>
      <c r="E132" s="11" t="s">
        <v>1693</v>
      </c>
      <c r="F132" s="12"/>
      <c r="G132" s="12"/>
      <c r="H132" s="4" t="str">
        <f>CONCATENATE("img",Table3[[#This Row],[name]],"_ofs = $",Table3[[#This Row],[ofs]])</f>
        <v>imgPlayerRoundStart_1_ofs = $0104</v>
      </c>
    </row>
    <row r="133" spans="1:8" x14ac:dyDescent="0.25">
      <c r="A133" s="11" t="s">
        <v>1099</v>
      </c>
      <c r="B133" s="5">
        <f t="shared" si="1"/>
        <v>131</v>
      </c>
      <c r="C133" s="10" t="str">
        <f>DEC2HEX(Table3[[#This Row],[num]]*2,4)</f>
        <v>0106</v>
      </c>
      <c r="D133" s="11" t="s">
        <v>2176</v>
      </c>
      <c r="E133" s="11" t="s">
        <v>1694</v>
      </c>
      <c r="F133" s="12"/>
      <c r="G133" s="12"/>
      <c r="H133" s="4" t="str">
        <f>CONCATENATE("img",Table3[[#This Row],[name]],"_ofs = $",Table3[[#This Row],[ofs]])</f>
        <v>imgUNK140_ofs = $0106</v>
      </c>
    </row>
    <row r="134" spans="1:8" x14ac:dyDescent="0.25">
      <c r="A134" s="11" t="s">
        <v>1099</v>
      </c>
      <c r="B134" s="5">
        <f t="shared" ref="B134:B197" si="2">ROW()-2</f>
        <v>132</v>
      </c>
      <c r="C134" s="10" t="str">
        <f>DEC2HEX(Table3[[#This Row],[num]]*2,4)</f>
        <v>0108</v>
      </c>
      <c r="D134" s="11" t="s">
        <v>2177</v>
      </c>
      <c r="E134" s="11" t="s">
        <v>1695</v>
      </c>
      <c r="F134" s="12"/>
      <c r="G134" s="12"/>
      <c r="H134" s="4" t="str">
        <f>CONCATENATE("img",Table3[[#This Row],[name]],"_ofs = $",Table3[[#This Row],[ofs]])</f>
        <v>imgUNK141_ofs = $0108</v>
      </c>
    </row>
    <row r="135" spans="1:8" x14ac:dyDescent="0.25">
      <c r="A135" s="11" t="s">
        <v>1099</v>
      </c>
      <c r="B135" s="5">
        <f t="shared" si="2"/>
        <v>133</v>
      </c>
      <c r="C135" s="10" t="str">
        <f>DEC2HEX(Table3[[#This Row],[num]]*2,4)</f>
        <v>010A</v>
      </c>
      <c r="D135" s="11" t="s">
        <v>2178</v>
      </c>
      <c r="E135" s="11" t="s">
        <v>1007</v>
      </c>
      <c r="F135" s="12"/>
      <c r="G135" s="12"/>
      <c r="H135" s="4" t="str">
        <f>CONCATENATE("img",Table3[[#This Row],[name]],"_ofs = $",Table3[[#This Row],[ofs]])</f>
        <v>imgFloodHAlt_ofs = $010A</v>
      </c>
    </row>
    <row r="136" spans="1:8" x14ac:dyDescent="0.25">
      <c r="A136" s="11" t="s">
        <v>1099</v>
      </c>
      <c r="B136" s="5">
        <f t="shared" si="2"/>
        <v>134</v>
      </c>
      <c r="C136" s="10" t="str">
        <f>DEC2HEX(Table3[[#This Row],[num]]*2,4)</f>
        <v>010C</v>
      </c>
      <c r="D136" s="11" t="s">
        <v>2179</v>
      </c>
      <c r="E136" s="11" t="s">
        <v>992</v>
      </c>
      <c r="F136" s="12"/>
      <c r="G136" s="12"/>
      <c r="H136" s="4" t="str">
        <f>CONCATENATE("img",Table3[[#This Row],[name]],"_ofs = $",Table3[[#This Row],[ofs]])</f>
        <v>imgFloodV_ofs = $010C</v>
      </c>
    </row>
    <row r="137" spans="1:8" x14ac:dyDescent="0.25">
      <c r="A137" s="11" t="s">
        <v>1099</v>
      </c>
      <c r="B137" s="5">
        <f t="shared" si="2"/>
        <v>135</v>
      </c>
      <c r="C137" s="10" t="str">
        <f>DEC2HEX(Table3[[#This Row],[num]]*2,4)</f>
        <v>010E</v>
      </c>
      <c r="D137" s="11" t="s">
        <v>2180</v>
      </c>
      <c r="E137" s="11" t="s">
        <v>1696</v>
      </c>
      <c r="F137" s="12"/>
      <c r="G137" s="12"/>
      <c r="H137" s="4" t="str">
        <f>CONCATENATE("img",Table3[[#This Row],[name]],"_ofs = $",Table3[[#This Row],[ofs]])</f>
        <v>imgFlames4_1_ofs = $010E</v>
      </c>
    </row>
    <row r="138" spans="1:8" x14ac:dyDescent="0.25">
      <c r="A138" s="11" t="s">
        <v>1099</v>
      </c>
      <c r="B138" s="5">
        <f t="shared" si="2"/>
        <v>136</v>
      </c>
      <c r="C138" s="10" t="str">
        <f>DEC2HEX(Table3[[#This Row],[num]]*2,4)</f>
        <v>0110</v>
      </c>
      <c r="D138" s="11" t="s">
        <v>2181</v>
      </c>
      <c r="E138" s="11" t="s">
        <v>1697</v>
      </c>
      <c r="F138" s="12"/>
      <c r="G138" s="12"/>
      <c r="H138" s="4" t="str">
        <f>CONCATENATE("img",Table3[[#This Row],[name]],"_ofs = $",Table3[[#This Row],[ofs]])</f>
        <v>imgFlames2_1_ofs = $0110</v>
      </c>
    </row>
    <row r="139" spans="1:8" x14ac:dyDescent="0.25">
      <c r="A139" s="11" t="s">
        <v>1099</v>
      </c>
      <c r="B139" s="5">
        <f t="shared" si="2"/>
        <v>137</v>
      </c>
      <c r="C139" s="10" t="str">
        <f>DEC2HEX(Table3[[#This Row],[num]]*2,4)</f>
        <v>0112</v>
      </c>
      <c r="D139" s="11" t="s">
        <v>2182</v>
      </c>
      <c r="E139" s="11" t="s">
        <v>1698</v>
      </c>
      <c r="F139" s="12"/>
      <c r="G139" s="12"/>
      <c r="H139" s="4" t="str">
        <f>CONCATENATE("img",Table3[[#This Row],[name]],"_ofs = $",Table3[[#This Row],[ofs]])</f>
        <v>imgFlames2L_1_ofs = $0112</v>
      </c>
    </row>
    <row r="140" spans="1:8" x14ac:dyDescent="0.25">
      <c r="A140" s="11" t="s">
        <v>1099</v>
      </c>
      <c r="B140" s="5">
        <f t="shared" si="2"/>
        <v>138</v>
      </c>
      <c r="C140" s="10" t="str">
        <f>DEC2HEX(Table3[[#This Row],[num]]*2,4)</f>
        <v>0114</v>
      </c>
      <c r="D140" s="11" t="s">
        <v>2183</v>
      </c>
      <c r="E140" s="11" t="s">
        <v>1699</v>
      </c>
      <c r="F140" s="12"/>
      <c r="G140" s="12"/>
      <c r="H140" s="4" t="str">
        <f>CONCATENATE("img",Table3[[#This Row],[name]],"_ofs = $",Table3[[#This Row],[ofs]])</f>
        <v>imgFlames3_1_ofs = $0114</v>
      </c>
    </row>
    <row r="141" spans="1:8" x14ac:dyDescent="0.25">
      <c r="A141" s="11" t="s">
        <v>1099</v>
      </c>
      <c r="B141" s="5">
        <f t="shared" si="2"/>
        <v>139</v>
      </c>
      <c r="C141" s="10" t="str">
        <f>DEC2HEX(Table3[[#This Row],[num]]*2,4)</f>
        <v>0116</v>
      </c>
      <c r="D141" s="11" t="s">
        <v>2184</v>
      </c>
      <c r="E141" s="11" t="s">
        <v>1700</v>
      </c>
      <c r="F141" s="12"/>
      <c r="G141" s="12"/>
      <c r="H141" s="4" t="str">
        <f>CONCATENATE("img",Table3[[#This Row],[name]],"_ofs = $",Table3[[#This Row],[ofs]])</f>
        <v>imgFlames3R_1_ofs = $0116</v>
      </c>
    </row>
    <row r="142" spans="1:8" x14ac:dyDescent="0.25">
      <c r="A142" s="11" t="s">
        <v>1099</v>
      </c>
      <c r="B142" s="5">
        <f t="shared" si="2"/>
        <v>140</v>
      </c>
      <c r="C142" s="10" t="str">
        <f>DEC2HEX(Table3[[#This Row],[num]]*2,4)</f>
        <v>0118</v>
      </c>
      <c r="D142" s="11" t="s">
        <v>2185</v>
      </c>
      <c r="E142" s="11" t="s">
        <v>1701</v>
      </c>
      <c r="F142" s="12"/>
      <c r="G142" s="12"/>
      <c r="H142" s="4" t="str">
        <f>CONCATENATE("img",Table3[[#This Row],[name]],"_ofs = $",Table3[[#This Row],[ofs]])</f>
        <v>imgPlayerGameOver_0_ofs = $0118</v>
      </c>
    </row>
    <row r="143" spans="1:8" x14ac:dyDescent="0.25">
      <c r="A143" s="11" t="s">
        <v>1099</v>
      </c>
      <c r="B143" s="5">
        <f t="shared" si="2"/>
        <v>141</v>
      </c>
      <c r="C143" s="10" t="str">
        <f>DEC2HEX(Table3[[#This Row],[num]]*2,4)</f>
        <v>011A</v>
      </c>
      <c r="D143" s="11" t="s">
        <v>2186</v>
      </c>
      <c r="E143" s="11" t="s">
        <v>1702</v>
      </c>
      <c r="F143" s="12"/>
      <c r="G143" s="12"/>
      <c r="H143" s="4" t="str">
        <f>CONCATENATE("img",Table3[[#This Row],[name]],"_ofs = $",Table3[[#This Row],[ofs]])</f>
        <v>imgPlayerGameOver_1_ofs = $011A</v>
      </c>
    </row>
    <row r="144" spans="1:8" x14ac:dyDescent="0.25">
      <c r="A144" s="11" t="s">
        <v>1099</v>
      </c>
      <c r="B144" s="5">
        <f t="shared" si="2"/>
        <v>142</v>
      </c>
      <c r="C144" s="10" t="str">
        <f>DEC2HEX(Table3[[#This Row],[num]]*2,4)</f>
        <v>011C</v>
      </c>
      <c r="D144" s="11" t="s">
        <v>2187</v>
      </c>
      <c r="E144" s="11" t="s">
        <v>919</v>
      </c>
      <c r="F144" s="12"/>
      <c r="G144" s="12"/>
      <c r="H144" s="4" t="str">
        <f>CONCATENATE("img",Table3[[#This Row],[name]],"_ofs = $",Table3[[#This Row],[ofs]])</f>
        <v>imgPlayerContinue_ofs = $011C</v>
      </c>
    </row>
    <row r="145" spans="1:8" x14ac:dyDescent="0.25">
      <c r="A145" s="11" t="s">
        <v>1099</v>
      </c>
      <c r="B145" s="5">
        <f t="shared" si="2"/>
        <v>143</v>
      </c>
      <c r="C145" s="10" t="str">
        <f>DEC2HEX(Table3[[#This Row],[num]]*2,4)</f>
        <v>011E</v>
      </c>
      <c r="D145" s="11" t="s">
        <v>2188</v>
      </c>
      <c r="E145" s="11" t="s">
        <v>1703</v>
      </c>
      <c r="F145" s="12"/>
      <c r="G145" s="12"/>
      <c r="H145" s="4" t="str">
        <f>CONCATENATE("img",Table3[[#This Row],[name]],"_ofs = $",Table3[[#This Row],[ofs]])</f>
        <v>imgSnowFall_2_ofs = $011E</v>
      </c>
    </row>
    <row r="146" spans="1:8" x14ac:dyDescent="0.25">
      <c r="A146" s="11" t="s">
        <v>1099</v>
      </c>
      <c r="B146" s="5">
        <f t="shared" si="2"/>
        <v>144</v>
      </c>
      <c r="C146" s="10" t="str">
        <f>DEC2HEX(Table3[[#This Row],[num]]*2,4)</f>
        <v>0120</v>
      </c>
      <c r="D146" s="11" t="s">
        <v>2189</v>
      </c>
      <c r="E146" s="11" t="s">
        <v>1704</v>
      </c>
      <c r="F146" s="12"/>
      <c r="G146" s="12"/>
      <c r="H146" s="4" t="str">
        <f>CONCATENATE("img",Table3[[#This Row],[name]],"_ofs = $",Table3[[#This Row],[ofs]])</f>
        <v>imgSnowFall_3_ofs = $0120</v>
      </c>
    </row>
    <row r="147" spans="1:8" x14ac:dyDescent="0.25">
      <c r="A147" s="11" t="s">
        <v>1099</v>
      </c>
      <c r="B147" s="5">
        <f t="shared" si="2"/>
        <v>145</v>
      </c>
      <c r="C147" s="10" t="str">
        <f>DEC2HEX(Table3[[#This Row],[num]]*2,4)</f>
        <v>0122</v>
      </c>
      <c r="D147" s="11" t="s">
        <v>2190</v>
      </c>
      <c r="E147" s="11" t="s">
        <v>1705</v>
      </c>
      <c r="F147" s="12"/>
      <c r="G147" s="12"/>
      <c r="H147" s="4" t="str">
        <f>CONCATENATE("img",Table3[[#This Row],[name]],"_ofs = $",Table3[[#This Row],[ofs]])</f>
        <v>imgSnowFall_0_ofs = $0122</v>
      </c>
    </row>
    <row r="148" spans="1:8" x14ac:dyDescent="0.25">
      <c r="A148" s="11" t="s">
        <v>1099</v>
      </c>
      <c r="B148" s="5">
        <f t="shared" si="2"/>
        <v>146</v>
      </c>
      <c r="C148" s="10" t="str">
        <f>DEC2HEX(Table3[[#This Row],[num]]*2,4)</f>
        <v>0124</v>
      </c>
      <c r="D148" s="11" t="s">
        <v>2191</v>
      </c>
      <c r="E148" s="11" t="s">
        <v>1706</v>
      </c>
      <c r="F148" s="12"/>
      <c r="G148" s="12"/>
      <c r="H148" s="4" t="str">
        <f>CONCATENATE("img",Table3[[#This Row],[name]],"_ofs = $",Table3[[#This Row],[ofs]])</f>
        <v>imgSnowSpread_0_ofs = $0124</v>
      </c>
    </row>
    <row r="149" spans="1:8" x14ac:dyDescent="0.25">
      <c r="A149" s="11" t="s">
        <v>1099</v>
      </c>
      <c r="B149" s="5">
        <f t="shared" si="2"/>
        <v>147</v>
      </c>
      <c r="C149" s="10" t="str">
        <f>DEC2HEX(Table3[[#This Row],[num]]*2,4)</f>
        <v>0126</v>
      </c>
      <c r="D149" s="11" t="s">
        <v>2192</v>
      </c>
      <c r="E149" s="11" t="s">
        <v>1707</v>
      </c>
      <c r="F149" s="12"/>
      <c r="G149" s="12"/>
      <c r="H149" s="4" t="str">
        <f>CONCATENATE("img",Table3[[#This Row],[name]],"_ofs = $",Table3[[#This Row],[ofs]])</f>
        <v>imgSnowSpread_1_ofs = $0126</v>
      </c>
    </row>
    <row r="150" spans="1:8" x14ac:dyDescent="0.25">
      <c r="A150" s="11" t="s">
        <v>1099</v>
      </c>
      <c r="B150" s="5">
        <f t="shared" si="2"/>
        <v>148</v>
      </c>
      <c r="C150" s="10" t="str">
        <f>DEC2HEX(Table3[[#This Row],[num]]*2,4)</f>
        <v>0128</v>
      </c>
      <c r="D150" s="11" t="s">
        <v>2193</v>
      </c>
      <c r="E150" s="11" t="s">
        <v>1708</v>
      </c>
      <c r="F150" s="12"/>
      <c r="G150" s="12"/>
      <c r="H150" s="4" t="str">
        <f>CONCATENATE("img",Table3[[#This Row],[name]],"_ofs = $",Table3[[#This Row],[ofs]])</f>
        <v>imgSnowSpread_2_ofs = $0128</v>
      </c>
    </row>
    <row r="151" spans="1:8" x14ac:dyDescent="0.25">
      <c r="A151" s="11" t="s">
        <v>1099</v>
      </c>
      <c r="B151" s="5">
        <f t="shared" si="2"/>
        <v>149</v>
      </c>
      <c r="C151" s="10" t="str">
        <f>DEC2HEX(Table3[[#This Row],[num]]*2,4)</f>
        <v>012A</v>
      </c>
      <c r="D151" s="11" t="s">
        <v>2194</v>
      </c>
      <c r="E151" s="11" t="s">
        <v>1709</v>
      </c>
      <c r="F151" s="12"/>
      <c r="G151" s="12"/>
      <c r="H151" s="4" t="str">
        <f>CONCATENATE("img",Table3[[#This Row],[name]],"_ofs = $",Table3[[#This Row],[ofs]])</f>
        <v>imgSnowFall_1_ofs = $012A</v>
      </c>
    </row>
    <row r="152" spans="1:8" x14ac:dyDescent="0.25">
      <c r="A152" s="11" t="s">
        <v>1099</v>
      </c>
      <c r="B152" s="5">
        <f t="shared" si="2"/>
        <v>150</v>
      </c>
      <c r="C152" s="10" t="str">
        <f>DEC2HEX(Table3[[#This Row],[num]]*2,4)</f>
        <v>012C</v>
      </c>
      <c r="D152" s="11" t="s">
        <v>2195</v>
      </c>
      <c r="E152" s="11" t="s">
        <v>1710</v>
      </c>
      <c r="F152" s="12"/>
      <c r="G152" s="12"/>
      <c r="H152" s="4" t="str">
        <f>CONCATENATE("img",Table3[[#This Row],[name]],"_ofs = $",Table3[[#This Row],[ofs]])</f>
        <v>imgTwizzerDie_0_ofs = $012C</v>
      </c>
    </row>
    <row r="153" spans="1:8" x14ac:dyDescent="0.25">
      <c r="A153" s="11" t="s">
        <v>1099</v>
      </c>
      <c r="B153" s="5">
        <f t="shared" si="2"/>
        <v>151</v>
      </c>
      <c r="C153" s="10" t="str">
        <f>DEC2HEX(Table3[[#This Row],[num]]*2,4)</f>
        <v>012E</v>
      </c>
      <c r="D153" s="11" t="s">
        <v>2196</v>
      </c>
      <c r="E153" s="11" t="s">
        <v>1711</v>
      </c>
      <c r="F153" s="12"/>
      <c r="G153" s="12"/>
      <c r="H153" s="4" t="str">
        <f>CONCATENATE("img",Table3[[#This Row],[name]],"_ofs = $",Table3[[#This Row],[ofs]])</f>
        <v>imgTwizzerDie_1_ofs = $012E</v>
      </c>
    </row>
    <row r="154" spans="1:8" x14ac:dyDescent="0.25">
      <c r="A154" s="11" t="s">
        <v>1099</v>
      </c>
      <c r="B154" s="5">
        <f t="shared" si="2"/>
        <v>152</v>
      </c>
      <c r="C154" s="10" t="str">
        <f>DEC2HEX(Table3[[#This Row],[num]]*2,4)</f>
        <v>0130</v>
      </c>
      <c r="D154" s="11" t="s">
        <v>2197</v>
      </c>
      <c r="E154" s="11" t="s">
        <v>1712</v>
      </c>
      <c r="F154" s="12"/>
      <c r="G154" s="12"/>
      <c r="H154" s="4" t="str">
        <f>CONCATENATE("img",Table3[[#This Row],[name]],"_ofs = $",Table3[[#This Row],[ofs]])</f>
        <v>imgTwizzerDie_2_ofs = $0130</v>
      </c>
    </row>
    <row r="155" spans="1:8" x14ac:dyDescent="0.25">
      <c r="A155" s="11" t="s">
        <v>1099</v>
      </c>
      <c r="B155" s="5">
        <f t="shared" si="2"/>
        <v>153</v>
      </c>
      <c r="C155" s="10" t="str">
        <f>DEC2HEX(Table3[[#This Row],[num]]*2,4)</f>
        <v>0132</v>
      </c>
      <c r="D155" s="11" t="s">
        <v>2198</v>
      </c>
      <c r="E155" s="11" t="s">
        <v>1713</v>
      </c>
      <c r="F155" s="12"/>
      <c r="G155" s="12"/>
      <c r="H155" s="4" t="str">
        <f>CONCATENATE("img",Table3[[#This Row],[name]],"_ofs = $",Table3[[#This Row],[ofs]])</f>
        <v>imgDrunkL_0_ofs = $0132</v>
      </c>
    </row>
    <row r="156" spans="1:8" x14ac:dyDescent="0.25">
      <c r="A156" s="11" t="s">
        <v>1099</v>
      </c>
      <c r="B156" s="5">
        <f t="shared" si="2"/>
        <v>154</v>
      </c>
      <c r="C156" s="10" t="str">
        <f>DEC2HEX(Table3[[#This Row],[num]]*2,4)</f>
        <v>0134</v>
      </c>
      <c r="D156" s="11" t="s">
        <v>2199</v>
      </c>
      <c r="E156" s="11" t="s">
        <v>1714</v>
      </c>
      <c r="F156" s="12"/>
      <c r="G156" s="12"/>
      <c r="H156" s="4" t="str">
        <f>CONCATENATE("img",Table3[[#This Row],[name]],"_ofs = $",Table3[[#This Row],[ofs]])</f>
        <v>imgDrunkL_1_ofs = $0134</v>
      </c>
    </row>
    <row r="157" spans="1:8" x14ac:dyDescent="0.25">
      <c r="A157" s="11" t="s">
        <v>1099</v>
      </c>
      <c r="B157" s="5">
        <f t="shared" si="2"/>
        <v>155</v>
      </c>
      <c r="C157" s="10" t="str">
        <f>DEC2HEX(Table3[[#This Row],[num]]*2,4)</f>
        <v>0136</v>
      </c>
      <c r="D157" s="11" t="s">
        <v>2200</v>
      </c>
      <c r="E157" s="11" t="s">
        <v>1715</v>
      </c>
      <c r="F157" s="12"/>
      <c r="G157" s="12"/>
      <c r="H157" s="4" t="str">
        <f>CONCATENATE("img",Table3[[#This Row],[name]],"_ofs = $",Table3[[#This Row],[ofs]])</f>
        <v>imgDrunkL_2_ofs = $0136</v>
      </c>
    </row>
    <row r="158" spans="1:8" x14ac:dyDescent="0.25">
      <c r="A158" s="11" t="s">
        <v>1099</v>
      </c>
      <c r="B158" s="5">
        <f t="shared" si="2"/>
        <v>156</v>
      </c>
      <c r="C158" s="10" t="str">
        <f>DEC2HEX(Table3[[#This Row],[num]]*2,4)</f>
        <v>0138</v>
      </c>
      <c r="D158" s="11" t="s">
        <v>2201</v>
      </c>
      <c r="E158" s="11" t="s">
        <v>1716</v>
      </c>
      <c r="F158" s="12"/>
      <c r="G158" s="12"/>
      <c r="H158" s="4" t="str">
        <f>CONCATENATE("img",Table3[[#This Row],[name]],"_ofs = $",Table3[[#This Row],[ofs]])</f>
        <v>imgDrunkL_3_ofs = $0138</v>
      </c>
    </row>
    <row r="159" spans="1:8" x14ac:dyDescent="0.25">
      <c r="A159" s="11" t="s">
        <v>1099</v>
      </c>
      <c r="B159" s="5">
        <f t="shared" si="2"/>
        <v>157</v>
      </c>
      <c r="C159" s="10" t="str">
        <f>DEC2HEX(Table3[[#This Row],[num]]*2,4)</f>
        <v>013A</v>
      </c>
      <c r="D159" s="11" t="s">
        <v>2202</v>
      </c>
      <c r="E159" s="11" t="s">
        <v>1717</v>
      </c>
      <c r="F159" s="12"/>
      <c r="G159" s="12"/>
      <c r="H159" s="4" t="str">
        <f>CONCATENATE("img",Table3[[#This Row],[name]],"_ofs = $",Table3[[#This Row],[ofs]])</f>
        <v>imgDrunkR_0_ofs = $013A</v>
      </c>
    </row>
    <row r="160" spans="1:8" x14ac:dyDescent="0.25">
      <c r="A160" s="11" t="s">
        <v>1099</v>
      </c>
      <c r="B160" s="5">
        <f t="shared" si="2"/>
        <v>158</v>
      </c>
      <c r="C160" s="10" t="str">
        <f>DEC2HEX(Table3[[#This Row],[num]]*2,4)</f>
        <v>013C</v>
      </c>
      <c r="D160" s="11" t="s">
        <v>2203</v>
      </c>
      <c r="E160" s="11" t="s">
        <v>1718</v>
      </c>
      <c r="F160" s="12"/>
      <c r="G160" s="12"/>
      <c r="H160" s="4" t="str">
        <f>CONCATENATE("img",Table3[[#This Row],[name]],"_ofs = $",Table3[[#This Row],[ofs]])</f>
        <v>imgDrunkR_1_ofs = $013C</v>
      </c>
    </row>
    <row r="161" spans="1:8" x14ac:dyDescent="0.25">
      <c r="A161" s="11" t="s">
        <v>1099</v>
      </c>
      <c r="B161" s="5">
        <f t="shared" si="2"/>
        <v>159</v>
      </c>
      <c r="C161" s="10" t="str">
        <f>DEC2HEX(Table3[[#This Row],[num]]*2,4)</f>
        <v>013E</v>
      </c>
      <c r="D161" s="11" t="s">
        <v>2204</v>
      </c>
      <c r="E161" s="11" t="s">
        <v>1719</v>
      </c>
      <c r="F161" s="12"/>
      <c r="G161" s="12"/>
      <c r="H161" s="4" t="str">
        <f>CONCATENATE("img",Table3[[#This Row],[name]],"_ofs = $",Table3[[#This Row],[ofs]])</f>
        <v>imgDrunkR_2_ofs = $013E</v>
      </c>
    </row>
    <row r="162" spans="1:8" x14ac:dyDescent="0.25">
      <c r="A162" s="11" t="s">
        <v>1099</v>
      </c>
      <c r="B162" s="5">
        <f t="shared" si="2"/>
        <v>160</v>
      </c>
      <c r="C162" s="10" t="str">
        <f>DEC2HEX(Table3[[#This Row],[num]]*2,4)</f>
        <v>0140</v>
      </c>
      <c r="D162" s="11" t="s">
        <v>2205</v>
      </c>
      <c r="E162" s="11" t="s">
        <v>1720</v>
      </c>
      <c r="F162" s="12"/>
      <c r="G162" s="12"/>
      <c r="H162" s="4" t="str">
        <f>CONCATENATE("img",Table3[[#This Row],[name]],"_ofs = $",Table3[[#This Row],[ofs]])</f>
        <v>imgDrunkR_3_ofs = $0140</v>
      </c>
    </row>
    <row r="163" spans="1:8" x14ac:dyDescent="0.25">
      <c r="A163" s="11" t="s">
        <v>1099</v>
      </c>
      <c r="B163" s="5">
        <f t="shared" si="2"/>
        <v>161</v>
      </c>
      <c r="C163" s="10" t="str">
        <f>DEC2HEX(Table3[[#This Row],[num]]*2,4)</f>
        <v>0142</v>
      </c>
      <c r="D163" s="11" t="s">
        <v>2206</v>
      </c>
      <c r="E163" s="11" t="s">
        <v>1721</v>
      </c>
      <c r="F163" s="12"/>
      <c r="G163" s="12"/>
      <c r="H163" s="4" t="str">
        <f>CONCATENATE("img",Table3[[#This Row],[name]],"_ofs = $",Table3[[#This Row],[ofs]])</f>
        <v>imgDrunkDie_0_ofs = $0142</v>
      </c>
    </row>
    <row r="164" spans="1:8" x14ac:dyDescent="0.25">
      <c r="A164" s="11" t="s">
        <v>1099</v>
      </c>
      <c r="B164" s="5">
        <f t="shared" si="2"/>
        <v>162</v>
      </c>
      <c r="C164" s="10" t="str">
        <f>DEC2HEX(Table3[[#This Row],[num]]*2,4)</f>
        <v>0144</v>
      </c>
      <c r="D164" s="11" t="s">
        <v>2207</v>
      </c>
      <c r="E164" s="11" t="s">
        <v>1722</v>
      </c>
      <c r="F164" s="12"/>
      <c r="G164" s="12"/>
      <c r="H164" s="4" t="str">
        <f>CONCATENATE("img",Table3[[#This Row],[name]],"_ofs = $",Table3[[#This Row],[ofs]])</f>
        <v>imgDrunkDie_1_ofs = $0144</v>
      </c>
    </row>
    <row r="165" spans="1:8" x14ac:dyDescent="0.25">
      <c r="A165" s="11" t="s">
        <v>1099</v>
      </c>
      <c r="B165" s="5">
        <f t="shared" si="2"/>
        <v>163</v>
      </c>
      <c r="C165" s="10" t="str">
        <f>DEC2HEX(Table3[[#This Row],[num]]*2,4)</f>
        <v>0146</v>
      </c>
      <c r="D165" s="11" t="s">
        <v>2208</v>
      </c>
      <c r="E165" s="11" t="s">
        <v>1723</v>
      </c>
      <c r="F165" s="12"/>
      <c r="G165" s="12"/>
      <c r="H165" s="4" t="str">
        <f>CONCATENATE("img",Table3[[#This Row],[name]],"_ofs = $",Table3[[#This Row],[ofs]])</f>
        <v>imgDrunkDie_2_ofs = $0146</v>
      </c>
    </row>
    <row r="166" spans="1:8" x14ac:dyDescent="0.25">
      <c r="A166" s="11" t="s">
        <v>1099</v>
      </c>
      <c r="B166" s="5">
        <f t="shared" si="2"/>
        <v>164</v>
      </c>
      <c r="C166" s="10" t="str">
        <f>DEC2HEX(Table3[[#This Row],[num]]*2,4)</f>
        <v>0148</v>
      </c>
      <c r="D166" s="11" t="s">
        <v>2209</v>
      </c>
      <c r="E166" s="11" t="s">
        <v>1724</v>
      </c>
      <c r="F166" s="12"/>
      <c r="G166" s="12"/>
      <c r="H166" s="4" t="str">
        <f>CONCATENATE("img",Table3[[#This Row],[name]],"_ofs = $",Table3[[#This Row],[ofs]])</f>
        <v>imgDrunkDie_3_ofs = $0148</v>
      </c>
    </row>
    <row r="167" spans="1:8" x14ac:dyDescent="0.25">
      <c r="A167" s="11" t="s">
        <v>1099</v>
      </c>
      <c r="B167" s="5">
        <f t="shared" si="2"/>
        <v>165</v>
      </c>
      <c r="C167" s="10" t="str">
        <f>DEC2HEX(Table3[[#This Row],[num]]*2,4)</f>
        <v>014A</v>
      </c>
      <c r="D167" s="11" t="s">
        <v>2210</v>
      </c>
      <c r="E167" s="11" t="s">
        <v>1725</v>
      </c>
      <c r="F167" s="12"/>
      <c r="G167" s="12"/>
      <c r="H167" s="4" t="str">
        <f>CONCATENATE("img",Table3[[#This Row],[name]],"_ofs = $",Table3[[#This Row],[ofs]])</f>
        <v>imgBlobbyDownL_0_ofs = $014A</v>
      </c>
    </row>
    <row r="168" spans="1:8" x14ac:dyDescent="0.25">
      <c r="A168" s="11" t="s">
        <v>1099</v>
      </c>
      <c r="B168" s="5">
        <f t="shared" si="2"/>
        <v>166</v>
      </c>
      <c r="C168" s="10" t="str">
        <f>DEC2HEX(Table3[[#This Row],[num]]*2,4)</f>
        <v>014C</v>
      </c>
      <c r="D168" s="11" t="s">
        <v>2211</v>
      </c>
      <c r="E168" s="11" t="s">
        <v>1726</v>
      </c>
      <c r="F168" s="12"/>
      <c r="G168" s="12"/>
      <c r="H168" s="4" t="str">
        <f>CONCATENATE("img",Table3[[#This Row],[name]],"_ofs = $",Table3[[#This Row],[ofs]])</f>
        <v>imgBlobbyDownL_1_ofs = $014C</v>
      </c>
    </row>
    <row r="169" spans="1:8" x14ac:dyDescent="0.25">
      <c r="A169" s="11" t="s">
        <v>1099</v>
      </c>
      <c r="B169" s="5">
        <f t="shared" si="2"/>
        <v>167</v>
      </c>
      <c r="C169" s="10" t="str">
        <f>DEC2HEX(Table3[[#This Row],[num]]*2,4)</f>
        <v>014E</v>
      </c>
      <c r="D169" s="11" t="s">
        <v>2212</v>
      </c>
      <c r="E169" s="11" t="s">
        <v>1727</v>
      </c>
      <c r="F169" s="12"/>
      <c r="G169" s="12"/>
      <c r="H169" s="4" t="str">
        <f>CONCATENATE("img",Table3[[#This Row],[name]],"_ofs = $",Table3[[#This Row],[ofs]])</f>
        <v>imgBlobbyFlyUpL_0_ofs = $014E</v>
      </c>
    </row>
    <row r="170" spans="1:8" x14ac:dyDescent="0.25">
      <c r="A170" s="11" t="s">
        <v>1099</v>
      </c>
      <c r="B170" s="5">
        <f t="shared" si="2"/>
        <v>168</v>
      </c>
      <c r="C170" s="10" t="str">
        <f>DEC2HEX(Table3[[#This Row],[num]]*2,4)</f>
        <v>0150</v>
      </c>
      <c r="D170" s="11" t="s">
        <v>2213</v>
      </c>
      <c r="E170" s="11" t="s">
        <v>1728</v>
      </c>
      <c r="F170" s="12"/>
      <c r="G170" s="12"/>
      <c r="H170" s="4" t="str">
        <f>CONCATENATE("img",Table3[[#This Row],[name]],"_ofs = $",Table3[[#This Row],[ofs]])</f>
        <v>imgBlobbyFlyUpL_1_ofs = $0150</v>
      </c>
    </row>
    <row r="171" spans="1:8" x14ac:dyDescent="0.25">
      <c r="A171" s="11" t="s">
        <v>1099</v>
      </c>
      <c r="B171" s="5">
        <f t="shared" si="2"/>
        <v>169</v>
      </c>
      <c r="C171" s="10" t="str">
        <f>DEC2HEX(Table3[[#This Row],[num]]*2,4)</f>
        <v>0152</v>
      </c>
      <c r="D171" s="11" t="s">
        <v>2214</v>
      </c>
      <c r="E171" s="11" t="s">
        <v>1729</v>
      </c>
      <c r="F171" s="12"/>
      <c r="G171" s="12"/>
      <c r="H171" s="4" t="str">
        <f>CONCATENATE("img",Table3[[#This Row],[name]],"_ofs = $",Table3[[#This Row],[ofs]])</f>
        <v>imgBlobbyFlyUpR_0_ofs = $0152</v>
      </c>
    </row>
    <row r="172" spans="1:8" x14ac:dyDescent="0.25">
      <c r="A172" s="11" t="s">
        <v>1099</v>
      </c>
      <c r="B172" s="5">
        <f t="shared" si="2"/>
        <v>170</v>
      </c>
      <c r="C172" s="10" t="str">
        <f>DEC2HEX(Table3[[#This Row],[num]]*2,4)</f>
        <v>0154</v>
      </c>
      <c r="D172" s="11" t="s">
        <v>2215</v>
      </c>
      <c r="E172" s="11" t="s">
        <v>1730</v>
      </c>
      <c r="F172" s="12"/>
      <c r="G172" s="12"/>
      <c r="H172" s="4" t="str">
        <f>CONCATENATE("img",Table3[[#This Row],[name]],"_ofs = $",Table3[[#This Row],[ofs]])</f>
        <v>imgBlobbyFlyUpR_1_ofs = $0154</v>
      </c>
    </row>
    <row r="173" spans="1:8" x14ac:dyDescent="0.25">
      <c r="A173" s="11" t="s">
        <v>1099</v>
      </c>
      <c r="B173" s="5">
        <f t="shared" si="2"/>
        <v>171</v>
      </c>
      <c r="C173" s="10" t="str">
        <f>DEC2HEX(Table3[[#This Row],[num]]*2,4)</f>
        <v>0156</v>
      </c>
      <c r="D173" s="11" t="s">
        <v>2216</v>
      </c>
      <c r="E173" s="11" t="s">
        <v>1731</v>
      </c>
      <c r="F173" s="12"/>
      <c r="G173" s="12"/>
      <c r="H173" s="4" t="str">
        <f>CONCATENATE("img",Table3[[#This Row],[name]],"_ofs = $",Table3[[#This Row],[ofs]])</f>
        <v>imgBlobbyDie_2_ofs = $0156</v>
      </c>
    </row>
    <row r="174" spans="1:8" x14ac:dyDescent="0.25">
      <c r="A174" s="11" t="s">
        <v>1099</v>
      </c>
      <c r="B174" s="5">
        <f t="shared" si="2"/>
        <v>172</v>
      </c>
      <c r="C174" s="10" t="str">
        <f>DEC2HEX(Table3[[#This Row],[num]]*2,4)</f>
        <v>0158</v>
      </c>
      <c r="D174" s="11" t="s">
        <v>2217</v>
      </c>
      <c r="E174" s="11" t="s">
        <v>1732</v>
      </c>
      <c r="F174" s="12"/>
      <c r="G174" s="12"/>
      <c r="H174" s="4" t="str">
        <f>CONCATENATE("img",Table3[[#This Row],[name]],"_ofs = $",Table3[[#This Row],[ofs]])</f>
        <v>imgBlobbyDie_3_ofs = $0158</v>
      </c>
    </row>
    <row r="175" spans="1:8" x14ac:dyDescent="0.25">
      <c r="A175" s="11" t="s">
        <v>1099</v>
      </c>
      <c r="B175" s="5">
        <f t="shared" si="2"/>
        <v>173</v>
      </c>
      <c r="C175" s="10" t="str">
        <f>DEC2HEX(Table3[[#This Row],[num]]*2,4)</f>
        <v>015A</v>
      </c>
      <c r="D175" s="11" t="s">
        <v>2218</v>
      </c>
      <c r="E175" s="11" t="s">
        <v>1733</v>
      </c>
      <c r="F175" s="12"/>
      <c r="G175" s="12"/>
      <c r="H175" s="4" t="str">
        <f>CONCATENATE("img",Table3[[#This Row],[name]],"_ofs = $",Table3[[#This Row],[ofs]])</f>
        <v>imgNeedlerDie_2_ofs = $015A</v>
      </c>
    </row>
    <row r="176" spans="1:8" x14ac:dyDescent="0.25">
      <c r="A176" s="11" t="s">
        <v>1099</v>
      </c>
      <c r="B176" s="5">
        <f t="shared" si="2"/>
        <v>174</v>
      </c>
      <c r="C176" s="10" t="str">
        <f>DEC2HEX(Table3[[#This Row],[num]]*2,4)</f>
        <v>015C</v>
      </c>
      <c r="D176" s="11" t="s">
        <v>2219</v>
      </c>
      <c r="E176" s="11" t="s">
        <v>1734</v>
      </c>
      <c r="F176" s="12"/>
      <c r="G176" s="12"/>
      <c r="H176" s="4" t="str">
        <f>CONCATENATE("img",Table3[[#This Row],[name]],"_ofs = $",Table3[[#This Row],[ofs]])</f>
        <v>imgNeedlerDie_3_ofs = $015C</v>
      </c>
    </row>
    <row r="177" spans="1:8" x14ac:dyDescent="0.25">
      <c r="A177" s="11" t="s">
        <v>1099</v>
      </c>
      <c r="B177" s="5">
        <f t="shared" si="2"/>
        <v>175</v>
      </c>
      <c r="C177" s="10" t="str">
        <f>DEC2HEX(Table3[[#This Row],[num]]*2,4)</f>
        <v>015E</v>
      </c>
      <c r="D177" s="11" t="s">
        <v>2220</v>
      </c>
      <c r="E177" s="11" t="s">
        <v>1735</v>
      </c>
      <c r="F177" s="12"/>
      <c r="G177" s="12"/>
      <c r="H177" s="4" t="str">
        <f>CONCATENATE("img",Table3[[#This Row],[name]],"_ofs = $",Table3[[#This Row],[ofs]])</f>
        <v>imgInvaderDie_2_ofs = $015E</v>
      </c>
    </row>
    <row r="178" spans="1:8" x14ac:dyDescent="0.25">
      <c r="A178" s="11" t="s">
        <v>1099</v>
      </c>
      <c r="B178" s="5">
        <f t="shared" si="2"/>
        <v>176</v>
      </c>
      <c r="C178" s="10" t="str">
        <f>DEC2HEX(Table3[[#This Row],[num]]*2,4)</f>
        <v>0160</v>
      </c>
      <c r="D178" s="11" t="s">
        <v>2221</v>
      </c>
      <c r="E178" s="11" t="s">
        <v>1736</v>
      </c>
      <c r="F178" s="12"/>
      <c r="G178" s="12"/>
      <c r="H178" s="4" t="str">
        <f>CONCATENATE("img",Table3[[#This Row],[name]],"_ofs = $",Table3[[#This Row],[ofs]])</f>
        <v>imgInvaderDie_3_ofs = $0160</v>
      </c>
    </row>
    <row r="179" spans="1:8" x14ac:dyDescent="0.25">
      <c r="A179" s="11" t="s">
        <v>1099</v>
      </c>
      <c r="B179" s="5">
        <f t="shared" si="2"/>
        <v>177</v>
      </c>
      <c r="C179" s="10" t="str">
        <f>DEC2HEX(Table3[[#This Row],[num]]*2,4)</f>
        <v>0162</v>
      </c>
      <c r="D179" s="11" t="s">
        <v>2222</v>
      </c>
      <c r="E179" s="11" t="s">
        <v>1533</v>
      </c>
      <c r="F179" s="12"/>
      <c r="G179" s="12"/>
      <c r="H179" s="4" t="str">
        <f>CONCATENATE("img",Table3[[#This Row],[name]],"_ofs = $",Table3[[#This Row],[ofs]])</f>
        <v>imgRoboZenMissileDown_ofs = $0162</v>
      </c>
    </row>
    <row r="180" spans="1:8" x14ac:dyDescent="0.25">
      <c r="A180" s="11" t="s">
        <v>1099</v>
      </c>
      <c r="B180" s="5">
        <f t="shared" si="2"/>
        <v>178</v>
      </c>
      <c r="C180" s="10" t="str">
        <f>DEC2HEX(Table3[[#This Row],[num]]*2,4)</f>
        <v>0164</v>
      </c>
      <c r="D180" s="11" t="s">
        <v>2223</v>
      </c>
      <c r="E180" s="11" t="s">
        <v>1535</v>
      </c>
      <c r="F180" s="12"/>
      <c r="G180" s="12"/>
      <c r="H180" s="4" t="str">
        <f>CONCATENATE("img",Table3[[#This Row],[name]],"_ofs = $",Table3[[#This Row],[ofs]])</f>
        <v>imgRoboZenMissileUpLeft_ofs = $0164</v>
      </c>
    </row>
    <row r="181" spans="1:8" x14ac:dyDescent="0.25">
      <c r="A181" s="11" t="s">
        <v>1099</v>
      </c>
      <c r="B181" s="5">
        <f t="shared" si="2"/>
        <v>179</v>
      </c>
      <c r="C181" s="10" t="str">
        <f>DEC2HEX(Table3[[#This Row],[num]]*2,4)</f>
        <v>0166</v>
      </c>
      <c r="D181" s="11" t="s">
        <v>2224</v>
      </c>
      <c r="E181" s="11" t="s">
        <v>1737</v>
      </c>
      <c r="F181" s="12"/>
      <c r="G181" s="12"/>
      <c r="H181" s="4" t="str">
        <f>CONCATENATE("img",Table3[[#This Row],[name]],"_ofs = $",Table3[[#This Row],[ofs]])</f>
        <v>imgBlobbyCeilL_0_ofs = $0166</v>
      </c>
    </row>
    <row r="182" spans="1:8" x14ac:dyDescent="0.25">
      <c r="A182" s="11" t="s">
        <v>1099</v>
      </c>
      <c r="B182" s="5">
        <f t="shared" si="2"/>
        <v>180</v>
      </c>
      <c r="C182" s="10" t="str">
        <f>DEC2HEX(Table3[[#This Row],[num]]*2,4)</f>
        <v>0168</v>
      </c>
      <c r="D182" s="11" t="s">
        <v>2225</v>
      </c>
      <c r="E182" s="11" t="s">
        <v>1738</v>
      </c>
      <c r="F182" s="12"/>
      <c r="G182" s="12"/>
      <c r="H182" s="4" t="str">
        <f>CONCATENATE("img",Table3[[#This Row],[name]],"_ofs = $",Table3[[#This Row],[ofs]])</f>
        <v>imgBlobbyCeilR_0_ofs = $0168</v>
      </c>
    </row>
    <row r="183" spans="1:8" x14ac:dyDescent="0.25">
      <c r="A183" s="11" t="s">
        <v>1099</v>
      </c>
      <c r="B183" s="5">
        <f t="shared" si="2"/>
        <v>181</v>
      </c>
      <c r="C183" s="10" t="str">
        <f>DEC2HEX(Table3[[#This Row],[num]]*2,4)</f>
        <v>016A</v>
      </c>
      <c r="D183" s="11" t="s">
        <v>2226</v>
      </c>
      <c r="E183" s="11" t="s">
        <v>1739</v>
      </c>
      <c r="F183" s="12"/>
      <c r="G183" s="12"/>
      <c r="H183" s="4" t="str">
        <f>CONCATENATE("img",Table3[[#This Row],[name]],"_ofs = $",Table3[[#This Row],[ofs]])</f>
        <v>imgBlobbyCeilL_1_ofs = $016A</v>
      </c>
    </row>
    <row r="184" spans="1:8" x14ac:dyDescent="0.25">
      <c r="A184" s="11" t="s">
        <v>1099</v>
      </c>
      <c r="B184" s="5">
        <f t="shared" si="2"/>
        <v>182</v>
      </c>
      <c r="C184" s="10" t="str">
        <f>DEC2HEX(Table3[[#This Row],[num]]*2,4)</f>
        <v>016C</v>
      </c>
      <c r="D184" s="11" t="s">
        <v>2227</v>
      </c>
      <c r="E184" s="11" t="s">
        <v>1740</v>
      </c>
      <c r="F184" s="12"/>
      <c r="G184" s="12"/>
      <c r="H184" s="4" t="str">
        <f>CONCATENATE("img",Table3[[#This Row],[name]],"_ofs = $",Table3[[#This Row],[ofs]])</f>
        <v>imgBlobbyCeilR_1_ofs = $016C</v>
      </c>
    </row>
    <row r="185" spans="1:8" x14ac:dyDescent="0.25">
      <c r="A185" s="11" t="s">
        <v>1099</v>
      </c>
      <c r="B185" s="5">
        <f t="shared" si="2"/>
        <v>183</v>
      </c>
      <c r="C185" s="10" t="str">
        <f>DEC2HEX(Table3[[#This Row],[num]]*2,4)</f>
        <v>016E</v>
      </c>
      <c r="D185" s="11" t="s">
        <v>2228</v>
      </c>
      <c r="E185" s="11" t="s">
        <v>1741</v>
      </c>
      <c r="F185" s="12"/>
      <c r="G185" s="12"/>
      <c r="H185" s="4" t="str">
        <f>CONCATENATE("img",Table3[[#This Row],[name]],"_ofs = $",Table3[[#This Row],[ofs]])</f>
        <v>imgSpringitBodyR_0_ofs = $016E</v>
      </c>
    </row>
    <row r="186" spans="1:8" x14ac:dyDescent="0.25">
      <c r="A186" s="11" t="s">
        <v>1099</v>
      </c>
      <c r="B186" s="5">
        <f t="shared" si="2"/>
        <v>184</v>
      </c>
      <c r="C186" s="10" t="str">
        <f>DEC2HEX(Table3[[#This Row],[num]]*2,4)</f>
        <v>0170</v>
      </c>
      <c r="D186" s="11" t="s">
        <v>2229</v>
      </c>
      <c r="E186" s="11" t="s">
        <v>1742</v>
      </c>
      <c r="F186" s="12"/>
      <c r="G186" s="12"/>
      <c r="H186" s="4" t="str">
        <f>CONCATENATE("img",Table3[[#This Row],[name]],"_ofs = $",Table3[[#This Row],[ofs]])</f>
        <v>imgSpringitBodyL_0_ofs = $0170</v>
      </c>
    </row>
    <row r="187" spans="1:8" x14ac:dyDescent="0.25">
      <c r="A187" s="11" t="s">
        <v>1099</v>
      </c>
      <c r="B187" s="5">
        <f t="shared" si="2"/>
        <v>185</v>
      </c>
      <c r="C187" s="10" t="str">
        <f>DEC2HEX(Table3[[#This Row],[num]]*2,4)</f>
        <v>0172</v>
      </c>
      <c r="D187" s="11" t="s">
        <v>2230</v>
      </c>
      <c r="E187" s="11" t="s">
        <v>1743</v>
      </c>
      <c r="F187" s="12"/>
      <c r="G187" s="12"/>
      <c r="H187" s="4" t="str">
        <f>CONCATENATE("img",Table3[[#This Row],[name]],"_ofs = $",Table3[[#This Row],[ofs]])</f>
        <v>imgSpringitBodyR_1_ofs = $0172</v>
      </c>
    </row>
    <row r="188" spans="1:8" x14ac:dyDescent="0.25">
      <c r="A188" s="11" t="s">
        <v>1099</v>
      </c>
      <c r="B188" s="5">
        <f t="shared" si="2"/>
        <v>186</v>
      </c>
      <c r="C188" s="10" t="str">
        <f>DEC2HEX(Table3[[#This Row],[num]]*2,4)</f>
        <v>0174</v>
      </c>
      <c r="D188" s="11" t="s">
        <v>2231</v>
      </c>
      <c r="E188" s="11" t="s">
        <v>1744</v>
      </c>
      <c r="F188" s="12"/>
      <c r="G188" s="12"/>
      <c r="H188" s="4" t="str">
        <f>CONCATENATE("img",Table3[[#This Row],[name]],"_ofs = $",Table3[[#This Row],[ofs]])</f>
        <v>imgSpringitBodyL_1_ofs = $0174</v>
      </c>
    </row>
    <row r="189" spans="1:8" x14ac:dyDescent="0.25">
      <c r="A189" s="11" t="s">
        <v>1099</v>
      </c>
      <c r="B189" s="5">
        <f t="shared" si="2"/>
        <v>187</v>
      </c>
      <c r="C189" s="10" t="str">
        <f>DEC2HEX(Table3[[#This Row],[num]]*2,4)</f>
        <v>0176</v>
      </c>
      <c r="D189" s="11" t="s">
        <v>2232</v>
      </c>
      <c r="E189" s="11" t="s">
        <v>1745</v>
      </c>
      <c r="F189" s="12"/>
      <c r="G189" s="12"/>
      <c r="H189" s="4" t="str">
        <f>CONCATENATE("img",Table3[[#This Row],[name]],"_ofs = $",Table3[[#This Row],[ofs]])</f>
        <v>imgSpringitBodyR_2_ofs = $0176</v>
      </c>
    </row>
    <row r="190" spans="1:8" x14ac:dyDescent="0.25">
      <c r="A190" s="11" t="s">
        <v>1099</v>
      </c>
      <c r="B190" s="5">
        <f t="shared" si="2"/>
        <v>188</v>
      </c>
      <c r="C190" s="10" t="str">
        <f>DEC2HEX(Table3[[#This Row],[num]]*2,4)</f>
        <v>0178</v>
      </c>
      <c r="D190" s="11" t="s">
        <v>2233</v>
      </c>
      <c r="E190" s="11" t="s">
        <v>1746</v>
      </c>
      <c r="F190" s="12"/>
      <c r="G190" s="12"/>
      <c r="H190" s="4" t="str">
        <f>CONCATENATE("img",Table3[[#This Row],[name]],"_ofs = $",Table3[[#This Row],[ofs]])</f>
        <v>imgSpringitBodyL_2_ofs = $0178</v>
      </c>
    </row>
    <row r="191" spans="1:8" x14ac:dyDescent="0.25">
      <c r="A191" s="11" t="s">
        <v>1099</v>
      </c>
      <c r="B191" s="5">
        <f t="shared" si="2"/>
        <v>189</v>
      </c>
      <c r="C191" s="10" t="str">
        <f>DEC2HEX(Table3[[#This Row],[num]]*2,4)</f>
        <v>017A</v>
      </c>
      <c r="D191" s="11" t="s">
        <v>2234</v>
      </c>
      <c r="E191" s="11" t="s">
        <v>1747</v>
      </c>
      <c r="F191" s="12"/>
      <c r="G191" s="12"/>
      <c r="H191" s="4" t="str">
        <f>CONCATENATE("img",Table3[[#This Row],[name]],"_ofs = $",Table3[[#This Row],[ofs]])</f>
        <v>imgSpringitBodyR_3_ofs = $017A</v>
      </c>
    </row>
    <row r="192" spans="1:8" x14ac:dyDescent="0.25">
      <c r="A192" s="11" t="s">
        <v>1099</v>
      </c>
      <c r="B192" s="5">
        <f t="shared" si="2"/>
        <v>190</v>
      </c>
      <c r="C192" s="10" t="str">
        <f>DEC2HEX(Table3[[#This Row],[num]]*2,4)</f>
        <v>017C</v>
      </c>
      <c r="D192" s="11" t="s">
        <v>2235</v>
      </c>
      <c r="E192" s="11" t="s">
        <v>1748</v>
      </c>
      <c r="F192" s="12"/>
      <c r="G192" s="12"/>
      <c r="H192" s="4" t="str">
        <f>CONCATENATE("img",Table3[[#This Row],[name]],"_ofs = $",Table3[[#This Row],[ofs]])</f>
        <v>imgSpringitBodyL_3_ofs = $017C</v>
      </c>
    </row>
    <row r="193" spans="1:8" x14ac:dyDescent="0.25">
      <c r="A193" s="11" t="s">
        <v>1099</v>
      </c>
      <c r="B193" s="5">
        <f t="shared" si="2"/>
        <v>191</v>
      </c>
      <c r="C193" s="10" t="str">
        <f>DEC2HEX(Table3[[#This Row],[num]]*2,4)</f>
        <v>017E</v>
      </c>
      <c r="D193" s="11" t="s">
        <v>2236</v>
      </c>
      <c r="E193" s="11" t="s">
        <v>1749</v>
      </c>
      <c r="F193" s="12"/>
      <c r="G193" s="12"/>
      <c r="H193" s="4" t="str">
        <f>CONCATENATE("img",Table3[[#This Row],[name]],"_ofs = $",Table3[[#This Row],[ofs]])</f>
        <v>imgSpringitBodyDieR_0_ofs = $017E</v>
      </c>
    </row>
    <row r="194" spans="1:8" x14ac:dyDescent="0.25">
      <c r="A194" s="11" t="s">
        <v>1099</v>
      </c>
      <c r="B194" s="5">
        <f t="shared" si="2"/>
        <v>192</v>
      </c>
      <c r="C194" s="10" t="str">
        <f>DEC2HEX(Table3[[#This Row],[num]]*2,4)</f>
        <v>0180</v>
      </c>
      <c r="D194" s="11" t="s">
        <v>2237</v>
      </c>
      <c r="E194" s="11" t="s">
        <v>1750</v>
      </c>
      <c r="F194" s="12"/>
      <c r="G194" s="12"/>
      <c r="H194" s="4" t="str">
        <f>CONCATENATE("img",Table3[[#This Row],[name]],"_ofs = $",Table3[[#This Row],[ofs]])</f>
        <v>imgSpringitBodyDieL_0_ofs = $0180</v>
      </c>
    </row>
    <row r="195" spans="1:8" x14ac:dyDescent="0.25">
      <c r="A195" s="11" t="s">
        <v>1099</v>
      </c>
      <c r="B195" s="5">
        <f t="shared" si="2"/>
        <v>193</v>
      </c>
      <c r="C195" s="10" t="str">
        <f>DEC2HEX(Table3[[#This Row],[num]]*2,4)</f>
        <v>0182</v>
      </c>
      <c r="D195" s="11" t="s">
        <v>2238</v>
      </c>
      <c r="E195" s="11" t="s">
        <v>1751</v>
      </c>
      <c r="F195" s="12"/>
      <c r="G195" s="12"/>
      <c r="H195" s="4" t="str">
        <f>CONCATENATE("img",Table3[[#This Row],[name]],"_ofs = $",Table3[[#This Row],[ofs]])</f>
        <v>imgSpringitBodyDieR_1_ofs = $0182</v>
      </c>
    </row>
    <row r="196" spans="1:8" x14ac:dyDescent="0.25">
      <c r="A196" s="11" t="s">
        <v>1099</v>
      </c>
      <c r="B196" s="5">
        <f t="shared" si="2"/>
        <v>194</v>
      </c>
      <c r="C196" s="10" t="str">
        <f>DEC2HEX(Table3[[#This Row],[num]]*2,4)</f>
        <v>0184</v>
      </c>
      <c r="D196" s="11" t="s">
        <v>2239</v>
      </c>
      <c r="E196" s="11" t="s">
        <v>1752</v>
      </c>
      <c r="F196" s="12"/>
      <c r="G196" s="12"/>
      <c r="H196" s="4" t="str">
        <f>CONCATENATE("img",Table3[[#This Row],[name]],"_ofs = $",Table3[[#This Row],[ofs]])</f>
        <v>imgSpringitBodyDieL_1_ofs = $0184</v>
      </c>
    </row>
    <row r="197" spans="1:8" x14ac:dyDescent="0.25">
      <c r="A197" s="11" t="s">
        <v>1099</v>
      </c>
      <c r="B197" s="5">
        <f t="shared" si="2"/>
        <v>195</v>
      </c>
      <c r="C197" s="10" t="str">
        <f>DEC2HEX(Table3[[#This Row],[num]]*2,4)</f>
        <v>0186</v>
      </c>
      <c r="D197" s="11" t="s">
        <v>2240</v>
      </c>
      <c r="E197" s="11" t="s">
        <v>1753</v>
      </c>
      <c r="F197" s="12"/>
      <c r="G197" s="12"/>
      <c r="H197" s="4" t="str">
        <f>CONCATENATE("img",Table3[[#This Row],[name]],"_ofs = $",Table3[[#This Row],[ofs]])</f>
        <v>imgSpringitBodyDieR_2_ofs = $0186</v>
      </c>
    </row>
    <row r="198" spans="1:8" x14ac:dyDescent="0.25">
      <c r="A198" s="11" t="s">
        <v>1099</v>
      </c>
      <c r="B198" s="5">
        <f t="shared" ref="B198:B261" si="3">ROW()-2</f>
        <v>196</v>
      </c>
      <c r="C198" s="10" t="str">
        <f>DEC2HEX(Table3[[#This Row],[num]]*2,4)</f>
        <v>0188</v>
      </c>
      <c r="D198" s="11" t="s">
        <v>2241</v>
      </c>
      <c r="E198" s="11" t="s">
        <v>1754</v>
      </c>
      <c r="F198" s="12"/>
      <c r="G198" s="12"/>
      <c r="H198" s="4" t="str">
        <f>CONCATENATE("img",Table3[[#This Row],[name]],"_ofs = $",Table3[[#This Row],[ofs]])</f>
        <v>imgSpringitBodyDieL_2_ofs = $0188</v>
      </c>
    </row>
    <row r="199" spans="1:8" x14ac:dyDescent="0.25">
      <c r="A199" s="11" t="s">
        <v>1099</v>
      </c>
      <c r="B199" s="5">
        <f t="shared" si="3"/>
        <v>197</v>
      </c>
      <c r="C199" s="10" t="str">
        <f>DEC2HEX(Table3[[#This Row],[num]]*2,4)</f>
        <v>018A</v>
      </c>
      <c r="D199" s="11" t="s">
        <v>2242</v>
      </c>
      <c r="E199" s="11" t="s">
        <v>1755</v>
      </c>
      <c r="F199" s="12"/>
      <c r="G199" s="12"/>
      <c r="H199" s="4" t="str">
        <f>CONCATENATE("img",Table3[[#This Row],[name]],"_ofs = $",Table3[[#This Row],[ofs]])</f>
        <v>imgSpringitBodyDieR_3_ofs = $018A</v>
      </c>
    </row>
    <row r="200" spans="1:8" x14ac:dyDescent="0.25">
      <c r="A200" s="11" t="s">
        <v>1099</v>
      </c>
      <c r="B200" s="5">
        <f t="shared" si="3"/>
        <v>198</v>
      </c>
      <c r="C200" s="10" t="str">
        <f>DEC2HEX(Table3[[#This Row],[num]]*2,4)</f>
        <v>018C</v>
      </c>
      <c r="D200" s="11" t="s">
        <v>2243</v>
      </c>
      <c r="E200" s="11" t="s">
        <v>1756</v>
      </c>
      <c r="F200" s="12"/>
      <c r="G200" s="12"/>
      <c r="H200" s="4" t="str">
        <f>CONCATENATE("img",Table3[[#This Row],[name]],"_ofs = $",Table3[[#This Row],[ofs]])</f>
        <v>imgSpringitBodyDieL_3_ofs = $018C</v>
      </c>
    </row>
    <row r="201" spans="1:8" x14ac:dyDescent="0.25">
      <c r="A201" s="11" t="s">
        <v>1099</v>
      </c>
      <c r="B201" s="5">
        <f t="shared" si="3"/>
        <v>199</v>
      </c>
      <c r="C201" s="10" t="str">
        <f>DEC2HEX(Table3[[#This Row],[num]]*2,4)</f>
        <v>018E</v>
      </c>
      <c r="D201" s="11" t="s">
        <v>2244</v>
      </c>
      <c r="E201" s="11" t="s">
        <v>1757</v>
      </c>
      <c r="F201" s="12"/>
      <c r="G201" s="12"/>
      <c r="H201" s="4" t="str">
        <f>CONCATENATE("img",Table3[[#This Row],[name]],"_ofs = $",Table3[[#This Row],[ofs]])</f>
        <v>imgSpringitBlast_0_ofs = $018E</v>
      </c>
    </row>
    <row r="202" spans="1:8" x14ac:dyDescent="0.25">
      <c r="A202" s="11" t="s">
        <v>1099</v>
      </c>
      <c r="B202" s="5">
        <f t="shared" si="3"/>
        <v>200</v>
      </c>
      <c r="C202" s="10" t="str">
        <f>DEC2HEX(Table3[[#This Row],[num]]*2,4)</f>
        <v>0190</v>
      </c>
      <c r="D202" s="11" t="s">
        <v>2245</v>
      </c>
      <c r="E202" s="11" t="s">
        <v>1758</v>
      </c>
      <c r="F202" s="12"/>
      <c r="G202" s="12"/>
      <c r="H202" s="4" t="str">
        <f>CONCATENATE("img",Table3[[#This Row],[name]],"_ofs = $",Table3[[#This Row],[ofs]])</f>
        <v>imgSpringitBlast_1_ofs = $0190</v>
      </c>
    </row>
    <row r="203" spans="1:8" x14ac:dyDescent="0.25">
      <c r="A203" s="11" t="s">
        <v>1099</v>
      </c>
      <c r="B203" s="5">
        <f t="shared" si="3"/>
        <v>201</v>
      </c>
      <c r="C203" s="10" t="str">
        <f>DEC2HEX(Table3[[#This Row],[num]]*2,4)</f>
        <v>0192</v>
      </c>
      <c r="D203" s="11" t="s">
        <v>2246</v>
      </c>
      <c r="E203" s="11" t="s">
        <v>1759</v>
      </c>
      <c r="F203" s="12"/>
      <c r="G203" s="12"/>
      <c r="H203" s="4" t="str">
        <f>CONCATENATE("img",Table3[[#This Row],[name]],"_ofs = $",Table3[[#This Row],[ofs]])</f>
        <v>imgSpringitBlast_2_ofs = $0192</v>
      </c>
    </row>
    <row r="204" spans="1:8" x14ac:dyDescent="0.25">
      <c r="A204" s="11" t="s">
        <v>1099</v>
      </c>
      <c r="B204" s="5">
        <f t="shared" si="3"/>
        <v>202</v>
      </c>
      <c r="C204" s="10" t="str">
        <f>DEC2HEX(Table3[[#This Row],[num]]*2,4)</f>
        <v>0194</v>
      </c>
      <c r="D204" s="11" t="s">
        <v>2247</v>
      </c>
      <c r="E204" s="11" t="s">
        <v>1760</v>
      </c>
      <c r="F204" s="12"/>
      <c r="G204" s="12"/>
      <c r="H204" s="4" t="str">
        <f>CONCATENATE("img",Table3[[#This Row],[name]],"_ofs = $",Table3[[#This Row],[ofs]])</f>
        <v>imgSpringitR_0_ofs = $0194</v>
      </c>
    </row>
    <row r="205" spans="1:8" x14ac:dyDescent="0.25">
      <c r="A205" s="11" t="s">
        <v>1099</v>
      </c>
      <c r="B205" s="5">
        <f t="shared" si="3"/>
        <v>203</v>
      </c>
      <c r="C205" s="10" t="str">
        <f>DEC2HEX(Table3[[#This Row],[num]]*2,4)</f>
        <v>0196</v>
      </c>
      <c r="D205" s="11" t="s">
        <v>2248</v>
      </c>
      <c r="E205" s="11" t="s">
        <v>1761</v>
      </c>
      <c r="F205" s="12"/>
      <c r="G205" s="12"/>
      <c r="H205" s="4" t="str">
        <f>CONCATENATE("img",Table3[[#This Row],[name]],"_ofs = $",Table3[[#This Row],[ofs]])</f>
        <v>imgSpringitR_1_ofs = $0196</v>
      </c>
    </row>
    <row r="206" spans="1:8" x14ac:dyDescent="0.25">
      <c r="A206" s="11" t="s">
        <v>1099</v>
      </c>
      <c r="B206" s="5">
        <f t="shared" si="3"/>
        <v>204</v>
      </c>
      <c r="C206" s="10" t="str">
        <f>DEC2HEX(Table3[[#This Row],[num]]*2,4)</f>
        <v>0198</v>
      </c>
      <c r="D206" s="11" t="s">
        <v>2249</v>
      </c>
      <c r="E206" s="11" t="s">
        <v>1762</v>
      </c>
      <c r="F206" s="12"/>
      <c r="G206" s="12"/>
      <c r="H206" s="4" t="str">
        <f>CONCATENATE("img",Table3[[#This Row],[name]],"_ofs = $",Table3[[#This Row],[ofs]])</f>
        <v>imgSpringitR_2_ofs = $0198</v>
      </c>
    </row>
    <row r="207" spans="1:8" x14ac:dyDescent="0.25">
      <c r="A207" s="11" t="s">
        <v>1099</v>
      </c>
      <c r="B207" s="5">
        <f t="shared" si="3"/>
        <v>205</v>
      </c>
      <c r="C207" s="10" t="str">
        <f>DEC2HEX(Table3[[#This Row],[num]]*2,4)</f>
        <v>019A</v>
      </c>
      <c r="D207" s="11" t="s">
        <v>2250</v>
      </c>
      <c r="E207" s="11" t="s">
        <v>1763</v>
      </c>
      <c r="F207" s="12"/>
      <c r="G207" s="12"/>
      <c r="H207" s="4" t="str">
        <f>CONCATENATE("img",Table3[[#This Row],[name]],"_ofs = $",Table3[[#This Row],[ofs]])</f>
        <v>imgSpringitR_3_ofs = $019A</v>
      </c>
    </row>
    <row r="208" spans="1:8" x14ac:dyDescent="0.25">
      <c r="A208" s="11" t="s">
        <v>1099</v>
      </c>
      <c r="B208" s="5">
        <f t="shared" si="3"/>
        <v>206</v>
      </c>
      <c r="C208" s="10" t="str">
        <f>DEC2HEX(Table3[[#This Row],[num]]*2,4)</f>
        <v>019C</v>
      </c>
      <c r="D208" s="11" t="s">
        <v>2251</v>
      </c>
      <c r="E208" s="11" t="s">
        <v>1764</v>
      </c>
      <c r="F208" s="12"/>
      <c r="G208" s="12"/>
      <c r="H208" s="4" t="str">
        <f>CONCATENATE("img",Table3[[#This Row],[name]],"_ofs = $",Table3[[#This Row],[ofs]])</f>
        <v>imgSpringitDieR_0_ofs = $019C</v>
      </c>
    </row>
    <row r="209" spans="1:8" x14ac:dyDescent="0.25">
      <c r="A209" s="11" t="s">
        <v>1099</v>
      </c>
      <c r="B209" s="5">
        <f t="shared" si="3"/>
        <v>207</v>
      </c>
      <c r="C209" s="10" t="str">
        <f>DEC2HEX(Table3[[#This Row],[num]]*2,4)</f>
        <v>019E</v>
      </c>
      <c r="D209" s="11" t="s">
        <v>2252</v>
      </c>
      <c r="E209" s="11" t="s">
        <v>1765</v>
      </c>
      <c r="F209" s="12"/>
      <c r="G209" s="12"/>
      <c r="H209" s="4" t="str">
        <f>CONCATENATE("img",Table3[[#This Row],[name]],"_ofs = $",Table3[[#This Row],[ofs]])</f>
        <v>imgSpringitDieR_1_ofs = $019E</v>
      </c>
    </row>
    <row r="210" spans="1:8" x14ac:dyDescent="0.25">
      <c r="A210" s="11" t="s">
        <v>1099</v>
      </c>
      <c r="B210" s="5">
        <f t="shared" si="3"/>
        <v>208</v>
      </c>
      <c r="C210" s="10" t="str">
        <f>DEC2HEX(Table3[[#This Row],[num]]*2,4)</f>
        <v>01A0</v>
      </c>
      <c r="D210" s="11" t="s">
        <v>2253</v>
      </c>
      <c r="E210" s="11" t="s">
        <v>1766</v>
      </c>
      <c r="F210" s="12"/>
      <c r="G210" s="12"/>
      <c r="H210" s="4" t="str">
        <f>CONCATENATE("img",Table3[[#This Row],[name]],"_ofs = $",Table3[[#This Row],[ofs]])</f>
        <v>imgSpringitL_0_ofs = $01A0</v>
      </c>
    </row>
    <row r="211" spans="1:8" x14ac:dyDescent="0.25">
      <c r="A211" s="11" t="s">
        <v>1099</v>
      </c>
      <c r="B211" s="5">
        <f t="shared" si="3"/>
        <v>209</v>
      </c>
      <c r="C211" s="10" t="str">
        <f>DEC2HEX(Table3[[#This Row],[num]]*2,4)</f>
        <v>01A2</v>
      </c>
      <c r="D211" s="11" t="s">
        <v>2254</v>
      </c>
      <c r="E211" s="11" t="s">
        <v>1767</v>
      </c>
      <c r="F211" s="12"/>
      <c r="G211" s="12"/>
      <c r="H211" s="4" t="str">
        <f>CONCATENATE("img",Table3[[#This Row],[name]],"_ofs = $",Table3[[#This Row],[ofs]])</f>
        <v>imgSpringitL_1_ofs = $01A2</v>
      </c>
    </row>
    <row r="212" spans="1:8" x14ac:dyDescent="0.25">
      <c r="A212" s="11" t="s">
        <v>1099</v>
      </c>
      <c r="B212" s="5">
        <f t="shared" si="3"/>
        <v>210</v>
      </c>
      <c r="C212" s="10" t="str">
        <f>DEC2HEX(Table3[[#This Row],[num]]*2,4)</f>
        <v>01A4</v>
      </c>
      <c r="D212" s="11" t="s">
        <v>2255</v>
      </c>
      <c r="E212" s="11" t="s">
        <v>1768</v>
      </c>
      <c r="F212" s="12"/>
      <c r="G212" s="12"/>
      <c r="H212" s="4" t="str">
        <f>CONCATENATE("img",Table3[[#This Row],[name]],"_ofs = $",Table3[[#This Row],[ofs]])</f>
        <v>imgSpringitL_2_ofs = $01A4</v>
      </c>
    </row>
    <row r="213" spans="1:8" x14ac:dyDescent="0.25">
      <c r="A213" s="11" t="s">
        <v>1099</v>
      </c>
      <c r="B213" s="5">
        <f t="shared" si="3"/>
        <v>211</v>
      </c>
      <c r="C213" s="10" t="str">
        <f>DEC2HEX(Table3[[#This Row],[num]]*2,4)</f>
        <v>01A6</v>
      </c>
      <c r="D213" s="11" t="s">
        <v>2256</v>
      </c>
      <c r="E213" s="11" t="s">
        <v>1769</v>
      </c>
      <c r="F213" s="12"/>
      <c r="G213" s="12"/>
      <c r="H213" s="4" t="str">
        <f>CONCATENATE("img",Table3[[#This Row],[name]],"_ofs = $",Table3[[#This Row],[ofs]])</f>
        <v>imgSpringitL_3_ofs = $01A6</v>
      </c>
    </row>
    <row r="214" spans="1:8" x14ac:dyDescent="0.25">
      <c r="A214" s="11" t="s">
        <v>1099</v>
      </c>
      <c r="B214" s="5">
        <f t="shared" si="3"/>
        <v>212</v>
      </c>
      <c r="C214" s="10" t="str">
        <f>DEC2HEX(Table3[[#This Row],[num]]*2,4)</f>
        <v>01A8</v>
      </c>
      <c r="D214" s="11" t="s">
        <v>2257</v>
      </c>
      <c r="E214" s="11" t="s">
        <v>1770</v>
      </c>
      <c r="F214" s="12"/>
      <c r="G214" s="12"/>
      <c r="H214" s="4" t="str">
        <f>CONCATENATE("img",Table3[[#This Row],[name]],"_ofs = $",Table3[[#This Row],[ofs]])</f>
        <v>imgSpringitDieL_0_ofs = $01A8</v>
      </c>
    </row>
    <row r="215" spans="1:8" x14ac:dyDescent="0.25">
      <c r="A215" s="11" t="s">
        <v>1099</v>
      </c>
      <c r="B215" s="5">
        <f t="shared" si="3"/>
        <v>213</v>
      </c>
      <c r="C215" s="10" t="str">
        <f>DEC2HEX(Table3[[#This Row],[num]]*2,4)</f>
        <v>01AA</v>
      </c>
      <c r="D215" s="11" t="s">
        <v>2258</v>
      </c>
      <c r="E215" s="11" t="s">
        <v>1771</v>
      </c>
      <c r="F215" s="12"/>
      <c r="G215" s="12"/>
      <c r="H215" s="4" t="str">
        <f>CONCATENATE("img",Table3[[#This Row],[name]],"_ofs = $",Table3[[#This Row],[ofs]])</f>
        <v>imgSpringitDieL_1_ofs = $01AA</v>
      </c>
    </row>
    <row r="216" spans="1:8" x14ac:dyDescent="0.25">
      <c r="A216" s="11" t="s">
        <v>1099</v>
      </c>
      <c r="B216" s="5">
        <f t="shared" si="3"/>
        <v>214</v>
      </c>
      <c r="C216" s="10" t="str">
        <f>DEC2HEX(Table3[[#This Row],[num]]*2,4)</f>
        <v>01AC</v>
      </c>
      <c r="D216" s="11" t="s">
        <v>2259</v>
      </c>
      <c r="E216" s="11" t="s">
        <v>908</v>
      </c>
      <c r="F216" s="12"/>
      <c r="G216" s="12"/>
      <c r="H216" s="4" t="str">
        <f>CONCATENATE("img",Table3[[#This Row],[name]],"_ofs = $",Table3[[#This Row],[ofs]])</f>
        <v>imgDOHTop_ofs = $01AC</v>
      </c>
    </row>
    <row r="217" spans="1:8" x14ac:dyDescent="0.25">
      <c r="A217" s="11" t="s">
        <v>1099</v>
      </c>
      <c r="B217" s="5">
        <f t="shared" si="3"/>
        <v>215</v>
      </c>
      <c r="C217" s="10" t="str">
        <f>DEC2HEX(Table3[[#This Row],[num]]*2,4)</f>
        <v>01AE</v>
      </c>
      <c r="D217" s="11" t="s">
        <v>2260</v>
      </c>
      <c r="E217" s="11" t="s">
        <v>909</v>
      </c>
      <c r="F217" s="12"/>
      <c r="G217" s="12"/>
      <c r="H217" s="4" t="str">
        <f>CONCATENATE("img",Table3[[#This Row],[name]],"_ofs = $",Table3[[#This Row],[ofs]])</f>
        <v>imgDOHFace_ofs = $01AE</v>
      </c>
    </row>
    <row r="218" spans="1:8" x14ac:dyDescent="0.25">
      <c r="A218" s="11" t="s">
        <v>1099</v>
      </c>
      <c r="B218" s="5">
        <f t="shared" si="3"/>
        <v>216</v>
      </c>
      <c r="C218" s="10" t="str">
        <f>DEC2HEX(Table3[[#This Row],[num]]*2,4)</f>
        <v>01B0</v>
      </c>
      <c r="D218" s="11" t="s">
        <v>2261</v>
      </c>
      <c r="E218" s="11" t="s">
        <v>910</v>
      </c>
      <c r="F218" s="12"/>
      <c r="G218" s="12"/>
      <c r="H218" s="4" t="str">
        <f>CONCATENATE("img",Table3[[#This Row],[name]],"_ofs = $",Table3[[#This Row],[ofs]])</f>
        <v>imgDOHMouth_ofs = $01B0</v>
      </c>
    </row>
    <row r="219" spans="1:8" x14ac:dyDescent="0.25">
      <c r="A219" s="11" t="s">
        <v>1099</v>
      </c>
      <c r="B219" s="5">
        <f t="shared" si="3"/>
        <v>217</v>
      </c>
      <c r="C219" s="10" t="str">
        <f>DEC2HEX(Table3[[#This Row],[num]]*2,4)</f>
        <v>01B2</v>
      </c>
      <c r="D219" s="11" t="s">
        <v>2262</v>
      </c>
      <c r="E219" s="11" t="s">
        <v>911</v>
      </c>
      <c r="F219" s="12"/>
      <c r="G219" s="12"/>
      <c r="H219" s="4" t="str">
        <f>CONCATENATE("img",Table3[[#This Row],[name]],"_ofs = $",Table3[[#This Row],[ofs]])</f>
        <v>imgDOHBody_ofs = $01B2</v>
      </c>
    </row>
    <row r="220" spans="1:8" x14ac:dyDescent="0.25">
      <c r="A220" s="11" t="s">
        <v>1099</v>
      </c>
      <c r="B220" s="5">
        <f t="shared" si="3"/>
        <v>218</v>
      </c>
      <c r="C220" s="10" t="str">
        <f>DEC2HEX(Table3[[#This Row],[num]]*2,4)</f>
        <v>01B4</v>
      </c>
      <c r="D220" s="11" t="s">
        <v>2263</v>
      </c>
      <c r="E220" s="11" t="s">
        <v>912</v>
      </c>
      <c r="F220" s="12"/>
      <c r="G220" s="12"/>
      <c r="H220" s="4" t="str">
        <f>CONCATENATE("img",Table3[[#This Row],[name]],"_ofs = $",Table3[[#This Row],[ofs]])</f>
        <v>imgDOHTopShoot_ofs = $01B4</v>
      </c>
    </row>
    <row r="221" spans="1:8" x14ac:dyDescent="0.25">
      <c r="A221" s="11" t="s">
        <v>1099</v>
      </c>
      <c r="B221" s="5">
        <f t="shared" si="3"/>
        <v>219</v>
      </c>
      <c r="C221" s="10" t="str">
        <f>DEC2HEX(Table3[[#This Row],[num]]*2,4)</f>
        <v>01B6</v>
      </c>
      <c r="D221" s="11" t="s">
        <v>2264</v>
      </c>
      <c r="E221" s="11" t="s">
        <v>913</v>
      </c>
      <c r="F221" s="12"/>
      <c r="G221" s="12"/>
      <c r="H221" s="4" t="str">
        <f>CONCATENATE("img",Table3[[#This Row],[name]],"_ofs = $",Table3[[#This Row],[ofs]])</f>
        <v>imgDOHFaceShoot_ofs = $01B6</v>
      </c>
    </row>
    <row r="222" spans="1:8" x14ac:dyDescent="0.25">
      <c r="A222" s="11" t="s">
        <v>1099</v>
      </c>
      <c r="B222" s="5">
        <f t="shared" si="3"/>
        <v>220</v>
      </c>
      <c r="C222" s="10" t="str">
        <f>DEC2HEX(Table3[[#This Row],[num]]*2,4)</f>
        <v>01B8</v>
      </c>
      <c r="D222" s="11" t="s">
        <v>2265</v>
      </c>
      <c r="E222" s="11" t="s">
        <v>914</v>
      </c>
      <c r="F222" s="12"/>
      <c r="G222" s="12"/>
      <c r="H222" s="4" t="str">
        <f>CONCATENATE("img",Table3[[#This Row],[name]],"_ofs = $",Table3[[#This Row],[ofs]])</f>
        <v>imgDOHMouthShoot_ofs = $01B8</v>
      </c>
    </row>
    <row r="223" spans="1:8" x14ac:dyDescent="0.25">
      <c r="A223" s="11" t="s">
        <v>1099</v>
      </c>
      <c r="B223" s="5">
        <f t="shared" si="3"/>
        <v>221</v>
      </c>
      <c r="C223" s="10" t="str">
        <f>DEC2HEX(Table3[[#This Row],[num]]*2,4)</f>
        <v>01BA</v>
      </c>
      <c r="D223" s="11" t="s">
        <v>2266</v>
      </c>
      <c r="E223" s="11" t="s">
        <v>915</v>
      </c>
      <c r="F223" s="12"/>
      <c r="G223" s="12"/>
      <c r="H223" s="4" t="str">
        <f>CONCATENATE("img",Table3[[#This Row],[name]],"_ofs = $",Table3[[#This Row],[ofs]])</f>
        <v>imgDOHBodyShoot_ofs = $01BA</v>
      </c>
    </row>
    <row r="224" spans="1:8" x14ac:dyDescent="0.25">
      <c r="A224" s="11" t="s">
        <v>1099</v>
      </c>
      <c r="B224" s="5">
        <f t="shared" si="3"/>
        <v>222</v>
      </c>
      <c r="C224" s="10" t="str">
        <f>DEC2HEX(Table3[[#This Row],[num]]*2,4)</f>
        <v>01BC</v>
      </c>
      <c r="D224" s="11" t="s">
        <v>2267</v>
      </c>
      <c r="E224" s="11" t="s">
        <v>823</v>
      </c>
      <c r="F224" s="12"/>
      <c r="G224" s="12"/>
      <c r="H224" s="4" t="str">
        <f>CONCATENATE("img",Table3[[#This Row],[name]],"_ofs = $",Table3[[#This Row],[ofs]])</f>
        <v>imgDOHProj_ofs = $01BC</v>
      </c>
    </row>
    <row r="225" spans="1:8" x14ac:dyDescent="0.25">
      <c r="A225" s="11" t="s">
        <v>1099</v>
      </c>
      <c r="B225" s="5">
        <f t="shared" si="3"/>
        <v>223</v>
      </c>
      <c r="C225" s="10" t="str">
        <f>DEC2HEX(Table3[[#This Row],[num]]*2,4)</f>
        <v>01BE</v>
      </c>
      <c r="D225" s="11" t="s">
        <v>2268</v>
      </c>
      <c r="E225" s="11" t="s">
        <v>1772</v>
      </c>
      <c r="F225" s="12"/>
      <c r="G225" s="12"/>
      <c r="H225" s="4" t="str">
        <f>CONCATENATE("img",Table3[[#This Row],[name]],"_ofs = $",Table3[[#This Row],[ofs]])</f>
        <v>imgDOHProjSpin_1_ofs = $01BE</v>
      </c>
    </row>
    <row r="226" spans="1:8" x14ac:dyDescent="0.25">
      <c r="A226" s="11" t="s">
        <v>1099</v>
      </c>
      <c r="B226" s="5">
        <f t="shared" si="3"/>
        <v>224</v>
      </c>
      <c r="C226" s="10" t="str">
        <f>DEC2HEX(Table3[[#This Row],[num]]*2,4)</f>
        <v>01C0</v>
      </c>
      <c r="D226" s="11" t="s">
        <v>2269</v>
      </c>
      <c r="E226" s="11" t="s">
        <v>1773</v>
      </c>
      <c r="F226" s="12"/>
      <c r="G226" s="12"/>
      <c r="H226" s="4" t="str">
        <f>CONCATENATE("img",Table3[[#This Row],[name]],"_ofs = $",Table3[[#This Row],[ofs]])</f>
        <v>imgDOHProjSpin_2_ofs = $01C0</v>
      </c>
    </row>
    <row r="227" spans="1:8" x14ac:dyDescent="0.25">
      <c r="A227" s="11" t="s">
        <v>1099</v>
      </c>
      <c r="B227" s="5">
        <f t="shared" si="3"/>
        <v>225</v>
      </c>
      <c r="C227" s="10" t="str">
        <f>DEC2HEX(Table3[[#This Row],[num]]*2,4)</f>
        <v>01C2</v>
      </c>
      <c r="D227" s="11" t="s">
        <v>2270</v>
      </c>
      <c r="E227" s="11" t="s">
        <v>1774</v>
      </c>
      <c r="F227" s="12"/>
      <c r="G227" s="12"/>
      <c r="H227" s="4" t="str">
        <f>CONCATENATE("img",Table3[[#This Row],[name]],"_ofs = $",Table3[[#This Row],[ofs]])</f>
        <v>imgDOHProjSpin_3_ofs = $01C2</v>
      </c>
    </row>
    <row r="228" spans="1:8" x14ac:dyDescent="0.25">
      <c r="A228" s="11" t="s">
        <v>1099</v>
      </c>
      <c r="B228" s="5">
        <f t="shared" si="3"/>
        <v>226</v>
      </c>
      <c r="C228" s="10" t="str">
        <f>DEC2HEX(Table3[[#This Row],[num]]*2,4)</f>
        <v>01C4</v>
      </c>
      <c r="D228" s="11" t="s">
        <v>2271</v>
      </c>
      <c r="E228" s="11" t="s">
        <v>1775</v>
      </c>
      <c r="F228" s="12"/>
      <c r="G228" s="12"/>
      <c r="H228" s="4" t="str">
        <f>CONCATENATE("img",Table3[[#This Row],[name]],"_ofs = $",Table3[[#This Row],[ofs]])</f>
        <v>imgUNK04_01C4_ofs = $01C4</v>
      </c>
    </row>
    <row r="229" spans="1:8" x14ac:dyDescent="0.25">
      <c r="A229" s="11" t="s">
        <v>1099</v>
      </c>
      <c r="B229" s="5">
        <f t="shared" si="3"/>
        <v>227</v>
      </c>
      <c r="C229" s="10" t="str">
        <f>DEC2HEX(Table3[[#This Row],[num]]*2,4)</f>
        <v>01C6</v>
      </c>
      <c r="D229" s="11" t="s">
        <v>2272</v>
      </c>
      <c r="E229" s="11" t="s">
        <v>1776</v>
      </c>
      <c r="F229" s="12"/>
      <c r="G229" s="12"/>
      <c r="H229" s="4" t="str">
        <f>CONCATENATE("img",Table3[[#This Row],[name]],"_ofs = $",Table3[[#This Row],[ofs]])</f>
        <v>imgDOHTrapped_0_ofs = $01C6</v>
      </c>
    </row>
    <row r="230" spans="1:8" x14ac:dyDescent="0.25">
      <c r="A230" s="11" t="s">
        <v>1099</v>
      </c>
      <c r="B230" s="5">
        <f t="shared" si="3"/>
        <v>228</v>
      </c>
      <c r="C230" s="10" t="str">
        <f>DEC2HEX(Table3[[#This Row],[num]]*2,4)</f>
        <v>01C8</v>
      </c>
      <c r="D230" s="11" t="s">
        <v>2273</v>
      </c>
      <c r="E230" s="11" t="s">
        <v>1777</v>
      </c>
      <c r="F230" s="12"/>
      <c r="G230" s="12"/>
      <c r="H230" s="4" t="str">
        <f>CONCATENATE("img",Table3[[#This Row],[name]],"_ofs = $",Table3[[#This Row],[ofs]])</f>
        <v>imgDOHTrapped_1_ofs = $01C8</v>
      </c>
    </row>
    <row r="231" spans="1:8" x14ac:dyDescent="0.25">
      <c r="A231" s="11" t="s">
        <v>1099</v>
      </c>
      <c r="B231" s="5">
        <f t="shared" si="3"/>
        <v>229</v>
      </c>
      <c r="C231" s="10" t="str">
        <f>DEC2HEX(Table3[[#This Row],[num]]*2,4)</f>
        <v>01CA</v>
      </c>
      <c r="D231" s="11" t="s">
        <v>2274</v>
      </c>
      <c r="E231" s="11" t="s">
        <v>1778</v>
      </c>
      <c r="F231" s="12"/>
      <c r="G231" s="12"/>
      <c r="H231" s="4" t="str">
        <f>CONCATENATE("img",Table3[[#This Row],[name]],"_ofs = $",Table3[[#This Row],[ofs]])</f>
        <v>imgUNK04_01CA_ofs = $01CA</v>
      </c>
    </row>
    <row r="232" spans="1:8" x14ac:dyDescent="0.25">
      <c r="A232" s="11" t="s">
        <v>1099</v>
      </c>
      <c r="B232" s="5">
        <f t="shared" si="3"/>
        <v>230</v>
      </c>
      <c r="C232" s="10" t="str">
        <f>DEC2HEX(Table3[[#This Row],[num]]*2,4)</f>
        <v>01CC</v>
      </c>
      <c r="D232" s="11" t="s">
        <v>2275</v>
      </c>
      <c r="E232" s="11" t="s">
        <v>1779</v>
      </c>
      <c r="F232" s="12"/>
      <c r="G232" s="12"/>
      <c r="H232" s="4" t="str">
        <f>CONCATENATE("img",Table3[[#This Row],[name]],"_ofs = $",Table3[[#This Row],[ofs]])</f>
        <v>imgUNK04_01CC_ofs = $01CC</v>
      </c>
    </row>
    <row r="233" spans="1:8" x14ac:dyDescent="0.25">
      <c r="A233" s="11" t="s">
        <v>1099</v>
      </c>
      <c r="B233" s="5">
        <f t="shared" si="3"/>
        <v>231</v>
      </c>
      <c r="C233" s="10" t="str">
        <f>DEC2HEX(Table3[[#This Row],[num]]*2,4)</f>
        <v>01CE</v>
      </c>
      <c r="D233" s="11" t="s">
        <v>2276</v>
      </c>
      <c r="E233" s="11" t="s">
        <v>1780</v>
      </c>
      <c r="F233" s="12"/>
      <c r="G233" s="12"/>
      <c r="H233" s="4" t="str">
        <f>CONCATENATE("img",Table3[[#This Row],[name]],"_ofs = $",Table3[[#This Row],[ofs]])</f>
        <v>imgUNK04_01CE_ofs = $01CE</v>
      </c>
    </row>
    <row r="234" spans="1:8" x14ac:dyDescent="0.25">
      <c r="A234" s="11" t="s">
        <v>1099</v>
      </c>
      <c r="B234" s="5">
        <f t="shared" si="3"/>
        <v>232</v>
      </c>
      <c r="C234" s="10" t="str">
        <f>DEC2HEX(Table3[[#This Row],[num]]*2,4)</f>
        <v>01D0</v>
      </c>
      <c r="D234" s="11" t="s">
        <v>2277</v>
      </c>
      <c r="E234" s="11" t="s">
        <v>1781</v>
      </c>
      <c r="F234" s="12"/>
      <c r="G234" s="12"/>
      <c r="H234" s="4" t="str">
        <f>CONCATENATE("img",Table3[[#This Row],[name]],"_ofs = $",Table3[[#This Row],[ofs]])</f>
        <v>imgManticharAngryL_3_ofs = $01D0</v>
      </c>
    </row>
    <row r="235" spans="1:8" x14ac:dyDescent="0.25">
      <c r="A235" s="11" t="s">
        <v>1099</v>
      </c>
      <c r="B235" s="5">
        <f t="shared" si="3"/>
        <v>233</v>
      </c>
      <c r="C235" s="10" t="str">
        <f>DEC2HEX(Table3[[#This Row],[num]]*2,4)</f>
        <v>01D2</v>
      </c>
      <c r="D235" s="11" t="s">
        <v>2278</v>
      </c>
      <c r="E235" s="11" t="s">
        <v>1782</v>
      </c>
      <c r="F235" s="12"/>
      <c r="G235" s="12"/>
      <c r="H235" s="4" t="str">
        <f>CONCATENATE("img",Table3[[#This Row],[name]],"_ofs = $",Table3[[#This Row],[ofs]])</f>
        <v>imgManticharAngryR_3_ofs = $01D2</v>
      </c>
    </row>
    <row r="236" spans="1:8" x14ac:dyDescent="0.25">
      <c r="A236" s="11" t="s">
        <v>1099</v>
      </c>
      <c r="B236" s="5">
        <f t="shared" si="3"/>
        <v>234</v>
      </c>
      <c r="C236" s="10" t="str">
        <f>DEC2HEX(Table3[[#This Row],[num]]*2,4)</f>
        <v>01D4</v>
      </c>
      <c r="D236" s="11" t="s">
        <v>2279</v>
      </c>
      <c r="E236" s="11" t="s">
        <v>448</v>
      </c>
      <c r="F236" s="12"/>
      <c r="G236" s="12"/>
      <c r="H236" s="4" t="str">
        <f>CONCATENATE("img",Table3[[#This Row],[name]],"_ofs = $",Table3[[#This Row],[ofs]])</f>
        <v>imgTrash_ofs = $01D4</v>
      </c>
    </row>
    <row r="237" spans="1:8" x14ac:dyDescent="0.25">
      <c r="A237" s="11" t="s">
        <v>1099</v>
      </c>
      <c r="B237" s="5">
        <f t="shared" si="3"/>
        <v>235</v>
      </c>
      <c r="C237" s="10" t="str">
        <f>DEC2HEX(Table3[[#This Row],[num]]*2,4)</f>
        <v>01D6</v>
      </c>
      <c r="D237" s="11" t="s">
        <v>2280</v>
      </c>
      <c r="E237" s="11" t="s">
        <v>1783</v>
      </c>
      <c r="F237" s="12"/>
      <c r="G237" s="12"/>
      <c r="H237" s="4" t="str">
        <f>CONCATENATE("img",Table3[[#This Row],[name]],"_ofs = $",Table3[[#This Row],[ofs]])</f>
        <v>imgTrashFall_0_ofs = $01D6</v>
      </c>
    </row>
    <row r="238" spans="1:8" x14ac:dyDescent="0.25">
      <c r="A238" s="11" t="s">
        <v>1099</v>
      </c>
      <c r="B238" s="5">
        <f t="shared" si="3"/>
        <v>236</v>
      </c>
      <c r="C238" s="10" t="str">
        <f>DEC2HEX(Table3[[#This Row],[num]]*2,4)</f>
        <v>01D8</v>
      </c>
      <c r="D238" s="11" t="s">
        <v>2281</v>
      </c>
      <c r="E238" s="11" t="s">
        <v>1784</v>
      </c>
      <c r="F238" s="12"/>
      <c r="G238" s="12"/>
      <c r="H238" s="4" t="str">
        <f>CONCATENATE("img",Table3[[#This Row],[name]],"_ofs = $",Table3[[#This Row],[ofs]])</f>
        <v>imgTrashFall_1_ofs = $01D8</v>
      </c>
    </row>
    <row r="239" spans="1:8" x14ac:dyDescent="0.25">
      <c r="A239" s="11" t="s">
        <v>1099</v>
      </c>
      <c r="B239" s="5">
        <f t="shared" si="3"/>
        <v>237</v>
      </c>
      <c r="C239" s="10" t="str">
        <f>DEC2HEX(Table3[[#This Row],[num]]*2,4)</f>
        <v>01DA</v>
      </c>
      <c r="D239" s="11" t="s">
        <v>2282</v>
      </c>
      <c r="E239" s="11" t="s">
        <v>1785</v>
      </c>
      <c r="F239" s="12"/>
      <c r="G239" s="12"/>
      <c r="H239" s="4" t="str">
        <f>CONCATENATE("img",Table3[[#This Row],[name]],"_ofs = $",Table3[[#This Row],[ofs]])</f>
        <v>imgTrashFall_2_ofs = $01DA</v>
      </c>
    </row>
    <row r="240" spans="1:8" x14ac:dyDescent="0.25">
      <c r="A240" s="11" t="s">
        <v>1099</v>
      </c>
      <c r="B240" s="5">
        <f t="shared" si="3"/>
        <v>238</v>
      </c>
      <c r="C240" s="10" t="str">
        <f>DEC2HEX(Table3[[#This Row],[num]]*2,4)</f>
        <v>01DC</v>
      </c>
      <c r="D240" s="11" t="s">
        <v>2283</v>
      </c>
      <c r="E240" s="11" t="s">
        <v>1786</v>
      </c>
      <c r="F240" s="12"/>
      <c r="G240" s="12"/>
      <c r="H240" s="4" t="str">
        <f>CONCATENATE("img",Table3[[#This Row],[name]],"_ofs = $",Table3[[#This Row],[ofs]])</f>
        <v>imgUNK04_01DC_ofs = $01DC</v>
      </c>
    </row>
    <row r="241" spans="1:8" x14ac:dyDescent="0.25">
      <c r="A241" s="11" t="s">
        <v>1099</v>
      </c>
      <c r="B241" s="5">
        <f t="shared" si="3"/>
        <v>239</v>
      </c>
      <c r="C241" s="10" t="str">
        <f>DEC2HEX(Table3[[#This Row],[num]]*2,4)</f>
        <v>01DE</v>
      </c>
      <c r="D241" s="11" t="s">
        <v>2284</v>
      </c>
      <c r="E241" s="11" t="s">
        <v>1787</v>
      </c>
      <c r="F241" s="12"/>
      <c r="G241" s="12"/>
      <c r="H241" s="4" t="str">
        <f>CONCATENATE("img",Table3[[#This Row],[name]],"_ofs = $",Table3[[#This Row],[ofs]])</f>
        <v>imgCarryHeliExitL_0_ofs = $01DE</v>
      </c>
    </row>
    <row r="242" spans="1:8" x14ac:dyDescent="0.25">
      <c r="A242" s="11" t="s">
        <v>1099</v>
      </c>
      <c r="B242" s="5">
        <f t="shared" si="3"/>
        <v>240</v>
      </c>
      <c r="C242" s="10" t="str">
        <f>DEC2HEX(Table3[[#This Row],[num]]*2,4)</f>
        <v>01E0</v>
      </c>
      <c r="D242" s="11" t="s">
        <v>2285</v>
      </c>
      <c r="E242" s="11" t="s">
        <v>1788</v>
      </c>
      <c r="F242" s="12"/>
      <c r="G242" s="12"/>
      <c r="H242" s="4" t="str">
        <f>CONCATENATE("img",Table3[[#This Row],[name]],"_ofs = $",Table3[[#This Row],[ofs]])</f>
        <v>imgCarryHeliExitR_0_ofs = $01E0</v>
      </c>
    </row>
    <row r="243" spans="1:8" x14ac:dyDescent="0.25">
      <c r="A243" s="11" t="s">
        <v>1099</v>
      </c>
      <c r="B243" s="5">
        <f t="shared" si="3"/>
        <v>241</v>
      </c>
      <c r="C243" s="10" t="str">
        <f>DEC2HEX(Table3[[#This Row],[num]]*2,4)</f>
        <v>01E2</v>
      </c>
      <c r="D243" s="11" t="s">
        <v>2286</v>
      </c>
      <c r="E243" s="11" t="s">
        <v>1789</v>
      </c>
      <c r="F243" s="12"/>
      <c r="G243" s="12"/>
      <c r="H243" s="4" t="str">
        <f>CONCATENATE("img",Table3[[#This Row],[name]],"_ofs = $",Table3[[#This Row],[ofs]])</f>
        <v>imgCarryHeliExitL_1_ofs = $01E2</v>
      </c>
    </row>
    <row r="244" spans="1:8" x14ac:dyDescent="0.25">
      <c r="A244" s="11" t="s">
        <v>1099</v>
      </c>
      <c r="B244" s="5">
        <f t="shared" si="3"/>
        <v>242</v>
      </c>
      <c r="C244" s="10" t="str">
        <f>DEC2HEX(Table3[[#This Row],[num]]*2,4)</f>
        <v>01E4</v>
      </c>
      <c r="D244" s="11" t="s">
        <v>2287</v>
      </c>
      <c r="E244" s="11" t="s">
        <v>1790</v>
      </c>
      <c r="F244" s="12"/>
      <c r="G244" s="12"/>
      <c r="H244" s="4" t="str">
        <f>CONCATENATE("img",Table3[[#This Row],[name]],"_ofs = $",Table3[[#This Row],[ofs]])</f>
        <v>imgCarryHeliExitR_1_ofs = $01E4</v>
      </c>
    </row>
    <row r="245" spans="1:8" x14ac:dyDescent="0.25">
      <c r="A245" s="11" t="s">
        <v>1099</v>
      </c>
      <c r="B245" s="5">
        <f t="shared" si="3"/>
        <v>243</v>
      </c>
      <c r="C245" s="10" t="str">
        <f>DEC2HEX(Table3[[#This Row],[num]]*2,4)</f>
        <v>01E6</v>
      </c>
      <c r="D245" s="11" t="s">
        <v>2288</v>
      </c>
      <c r="E245" s="11" t="s">
        <v>1791</v>
      </c>
      <c r="F245" s="12"/>
      <c r="G245" s="12"/>
      <c r="H245" s="4" t="str">
        <f>CONCATENATE("img",Table3[[#This Row],[name]],"_ofs = $",Table3[[#This Row],[ofs]])</f>
        <v>imgCarryHeliExitL_2_ofs = $01E6</v>
      </c>
    </row>
    <row r="246" spans="1:8" x14ac:dyDescent="0.25">
      <c r="A246" s="11" t="s">
        <v>1099</v>
      </c>
      <c r="B246" s="5">
        <f t="shared" si="3"/>
        <v>244</v>
      </c>
      <c r="C246" s="10" t="str">
        <f>DEC2HEX(Table3[[#This Row],[num]]*2,4)</f>
        <v>01E8</v>
      </c>
      <c r="D246" s="11" t="s">
        <v>2289</v>
      </c>
      <c r="E246" s="11" t="s">
        <v>1792</v>
      </c>
      <c r="F246" s="12"/>
      <c r="G246" s="12"/>
      <c r="H246" s="4" t="str">
        <f>CONCATENATE("img",Table3[[#This Row],[name]],"_ofs = $",Table3[[#This Row],[ofs]])</f>
        <v>imgCarryHeliExitR_2_ofs = $01E8</v>
      </c>
    </row>
    <row r="247" spans="1:8" x14ac:dyDescent="0.25">
      <c r="A247" s="11" t="s">
        <v>1099</v>
      </c>
      <c r="B247" s="5">
        <f t="shared" si="3"/>
        <v>245</v>
      </c>
      <c r="C247" s="10" t="str">
        <f>DEC2HEX(Table3[[#This Row],[num]]*2,4)</f>
        <v>01EA</v>
      </c>
      <c r="D247" s="11" t="s">
        <v>2290</v>
      </c>
      <c r="E247" s="11" t="s">
        <v>1793</v>
      </c>
      <c r="F247" s="12"/>
      <c r="G247" s="12"/>
      <c r="H247" s="4" t="str">
        <f>CONCATENATE("img",Table3[[#This Row],[name]],"_ofs = $",Table3[[#This Row],[ofs]])</f>
        <v>imgCarryHeliExitL_3_ofs = $01EA</v>
      </c>
    </row>
    <row r="248" spans="1:8" x14ac:dyDescent="0.25">
      <c r="A248" s="11" t="s">
        <v>1099</v>
      </c>
      <c r="B248" s="5">
        <f t="shared" si="3"/>
        <v>246</v>
      </c>
      <c r="C248" s="10" t="str">
        <f>DEC2HEX(Table3[[#This Row],[num]]*2,4)</f>
        <v>01EC</v>
      </c>
      <c r="D248" s="11" t="s">
        <v>2291</v>
      </c>
      <c r="E248" s="11" t="s">
        <v>1794</v>
      </c>
      <c r="F248" s="12"/>
      <c r="G248" s="12"/>
      <c r="H248" s="4" t="str">
        <f>CONCATENATE("img",Table3[[#This Row],[name]],"_ofs = $",Table3[[#This Row],[ofs]])</f>
        <v>imgCarryHeliExitR_3_ofs = $01EC</v>
      </c>
    </row>
    <row r="249" spans="1:8" x14ac:dyDescent="0.25">
      <c r="A249" s="11" t="s">
        <v>1099</v>
      </c>
      <c r="B249" s="5">
        <f t="shared" si="3"/>
        <v>247</v>
      </c>
      <c r="C249" s="10" t="str">
        <f>DEC2HEX(Table3[[#This Row],[num]]*2,4)</f>
        <v>01EE</v>
      </c>
      <c r="D249" s="11" t="s">
        <v>2292</v>
      </c>
      <c r="E249" s="11" t="s">
        <v>1795</v>
      </c>
      <c r="F249" s="12"/>
      <c r="G249" s="12"/>
      <c r="H249" s="4" t="str">
        <f>CONCATENATE("img",Table3[[#This Row],[name]],"_ofs = $",Table3[[#This Row],[ofs]])</f>
        <v>imgKirikabunDie_2_ofs = $01EE</v>
      </c>
    </row>
    <row r="250" spans="1:8" x14ac:dyDescent="0.25">
      <c r="A250" s="11" t="s">
        <v>1099</v>
      </c>
      <c r="B250" s="5">
        <f t="shared" si="3"/>
        <v>248</v>
      </c>
      <c r="C250" s="10" t="str">
        <f>DEC2HEX(Table3[[#This Row],[num]]*2,4)</f>
        <v>01F0</v>
      </c>
      <c r="D250" s="11" t="s">
        <v>2293</v>
      </c>
      <c r="E250" s="11" t="s">
        <v>1796</v>
      </c>
      <c r="F250" s="12"/>
      <c r="G250" s="12"/>
      <c r="H250" s="4" t="str">
        <f>CONCATENATE("img",Table3[[#This Row],[name]],"_ofs = $",Table3[[#This Row],[ofs]])</f>
        <v>imgKirikabunDie_3_ofs = $01F0</v>
      </c>
    </row>
    <row r="251" spans="1:8" x14ac:dyDescent="0.25">
      <c r="A251" s="11" t="s">
        <v>1099</v>
      </c>
      <c r="B251" s="5">
        <f t="shared" si="3"/>
        <v>249</v>
      </c>
      <c r="C251" s="10" t="str">
        <f>DEC2HEX(Table3[[#This Row],[num]]*2,4)</f>
        <v>01F2</v>
      </c>
      <c r="D251" s="11" t="s">
        <v>2294</v>
      </c>
      <c r="E251" s="11" t="s">
        <v>1797</v>
      </c>
      <c r="F251" s="12"/>
      <c r="G251" s="12"/>
      <c r="H251" s="4" t="str">
        <f>CONCATENATE("img",Table3[[#This Row],[name]],"_ofs = $",Table3[[#This Row],[ofs]])</f>
        <v>imgUNK04_01F2_ofs = $01F2</v>
      </c>
    </row>
    <row r="252" spans="1:8" x14ac:dyDescent="0.25">
      <c r="A252" s="11" t="s">
        <v>1099</v>
      </c>
      <c r="B252" s="5">
        <f t="shared" si="3"/>
        <v>250</v>
      </c>
      <c r="C252" s="10" t="str">
        <f>DEC2HEX(Table3[[#This Row],[num]]*2,4)</f>
        <v>01F4</v>
      </c>
      <c r="D252" s="11" t="s">
        <v>2295</v>
      </c>
      <c r="E252" s="11" t="s">
        <v>1798</v>
      </c>
      <c r="F252" s="12"/>
      <c r="G252" s="12"/>
      <c r="H252" s="4" t="str">
        <f>CONCATENATE("img",Table3[[#This Row],[name]],"_ofs = $",Table3[[#This Row],[ofs]])</f>
        <v>imgSkelMonstaSpawn_0_ofs = $01F4</v>
      </c>
    </row>
    <row r="253" spans="1:8" x14ac:dyDescent="0.25">
      <c r="A253" s="11" t="s">
        <v>1099</v>
      </c>
      <c r="B253" s="5">
        <f t="shared" si="3"/>
        <v>251</v>
      </c>
      <c r="C253" s="10" t="str">
        <f>DEC2HEX(Table3[[#This Row],[num]]*2,4)</f>
        <v>01F6</v>
      </c>
      <c r="D253" s="11" t="s">
        <v>2296</v>
      </c>
      <c r="E253" s="11" t="s">
        <v>1799</v>
      </c>
      <c r="F253" s="12"/>
      <c r="G253" s="12"/>
      <c r="H253" s="4" t="str">
        <f>CONCATENATE("img",Table3[[#This Row],[name]],"_ofs = $",Table3[[#This Row],[ofs]])</f>
        <v>imgSkelMonstaSpawn_1_ofs = $01F6</v>
      </c>
    </row>
    <row r="254" spans="1:8" x14ac:dyDescent="0.25">
      <c r="A254" s="11" t="s">
        <v>1099</v>
      </c>
      <c r="B254" s="5">
        <f t="shared" si="3"/>
        <v>252</v>
      </c>
      <c r="C254" s="10" t="str">
        <f>DEC2HEX(Table3[[#This Row],[num]]*2,4)</f>
        <v>01F8</v>
      </c>
      <c r="D254" s="11" t="s">
        <v>2297</v>
      </c>
      <c r="E254" s="11" t="s">
        <v>1800</v>
      </c>
      <c r="F254" s="12"/>
      <c r="G254" s="12"/>
      <c r="H254" s="4" t="str">
        <f>CONCATENATE("img",Table3[[#This Row],[name]],"_ofs = $",Table3[[#This Row],[ofs]])</f>
        <v>imgSkelMonstaSpawn_2_ofs = $01F8</v>
      </c>
    </row>
    <row r="255" spans="1:8" x14ac:dyDescent="0.25">
      <c r="A255" s="11" t="s">
        <v>1099</v>
      </c>
      <c r="B255" s="5">
        <f t="shared" si="3"/>
        <v>253</v>
      </c>
      <c r="C255" s="10" t="str">
        <f>DEC2HEX(Table3[[#This Row],[num]]*2,4)</f>
        <v>01FA</v>
      </c>
      <c r="D255" s="11" t="s">
        <v>2298</v>
      </c>
      <c r="E255" s="11" t="s">
        <v>1801</v>
      </c>
      <c r="F255" s="12"/>
      <c r="G255" s="12"/>
      <c r="H255" s="4" t="str">
        <f>CONCATENATE("img",Table3[[#This Row],[name]],"_ofs = $",Table3[[#This Row],[ofs]])</f>
        <v>imgHeitaiKunPara_0_ofs = $01FA</v>
      </c>
    </row>
    <row r="256" spans="1:8" x14ac:dyDescent="0.25">
      <c r="A256" s="11" t="s">
        <v>1099</v>
      </c>
      <c r="B256" s="5">
        <f t="shared" si="3"/>
        <v>254</v>
      </c>
      <c r="C256" s="10" t="str">
        <f>DEC2HEX(Table3[[#This Row],[num]]*2,4)</f>
        <v>01FC</v>
      </c>
      <c r="D256" s="11" t="s">
        <v>2299</v>
      </c>
      <c r="E256" s="11" t="s">
        <v>897</v>
      </c>
      <c r="F256" s="12"/>
      <c r="G256" s="12"/>
      <c r="H256" s="4" t="str">
        <f>CONCATENATE("img",Table3[[#This Row],[name]],"_ofs = $",Table3[[#This Row],[ofs]])</f>
        <v>imgHeitaiKunParaLand_ofs = $01FC</v>
      </c>
    </row>
    <row r="257" spans="1:8" x14ac:dyDescent="0.25">
      <c r="A257" s="11" t="s">
        <v>1099</v>
      </c>
      <c r="B257" s="5">
        <f t="shared" si="3"/>
        <v>255</v>
      </c>
      <c r="C257" s="10" t="str">
        <f>DEC2HEX(Table3[[#This Row],[num]]*2,4)</f>
        <v>01FE</v>
      </c>
      <c r="D257" s="11" t="s">
        <v>2300</v>
      </c>
      <c r="E257" s="11" t="s">
        <v>1802</v>
      </c>
      <c r="F257" s="12"/>
      <c r="G257" s="12"/>
      <c r="H257" s="4" t="str">
        <f>CONCATENATE("img",Table3[[#This Row],[name]],"_ofs = $",Table3[[#This Row],[ofs]])</f>
        <v>imgFlarionFlame_1_ofs = $01FE</v>
      </c>
    </row>
    <row r="258" spans="1:8" x14ac:dyDescent="0.25">
      <c r="A258" s="11" t="s">
        <v>1099</v>
      </c>
      <c r="B258" s="5">
        <f t="shared" si="3"/>
        <v>256</v>
      </c>
      <c r="C258" s="10" t="str">
        <f>DEC2HEX(Table3[[#This Row],[num]]*2,4)</f>
        <v>0200</v>
      </c>
      <c r="D258" s="11" t="s">
        <v>2301</v>
      </c>
      <c r="E258" s="11" t="s">
        <v>431</v>
      </c>
      <c r="F258" s="12"/>
      <c r="G258" s="12"/>
      <c r="H258" s="4" t="str">
        <f>CONCATENATE("img",Table3[[#This Row],[name]],"_ofs = $",Table3[[#This Row],[ofs]])</f>
        <v>imgTwizzer_ofs = $0200</v>
      </c>
    </row>
    <row r="259" spans="1:8" x14ac:dyDescent="0.25">
      <c r="A259" s="11" t="s">
        <v>1099</v>
      </c>
      <c r="B259" s="5">
        <f t="shared" si="3"/>
        <v>257</v>
      </c>
      <c r="C259" s="10" t="str">
        <f>DEC2HEX(Table3[[#This Row],[num]]*2,4)</f>
        <v>0202</v>
      </c>
      <c r="D259" s="11" t="s">
        <v>2302</v>
      </c>
      <c r="E259" s="11" t="s">
        <v>1803</v>
      </c>
      <c r="F259" s="12"/>
      <c r="G259" s="12"/>
      <c r="H259" s="4" t="str">
        <f>CONCATENATE("img",Table3[[#This Row],[name]],"_ofs = $",Table3[[#This Row],[ofs]])</f>
        <v>imgTwizzerSpin_0_ofs = $0202</v>
      </c>
    </row>
    <row r="260" spans="1:8" x14ac:dyDescent="0.25">
      <c r="A260" s="11" t="s">
        <v>1099</v>
      </c>
      <c r="B260" s="5">
        <f t="shared" si="3"/>
        <v>258</v>
      </c>
      <c r="C260" s="10" t="str">
        <f>DEC2HEX(Table3[[#This Row],[num]]*2,4)</f>
        <v>0204</v>
      </c>
      <c r="D260" s="11" t="s">
        <v>2303</v>
      </c>
      <c r="E260" s="11" t="s">
        <v>1804</v>
      </c>
      <c r="F260" s="12"/>
      <c r="G260" s="12"/>
      <c r="H260" s="4" t="str">
        <f>CONCATENATE("img",Table3[[#This Row],[name]],"_ofs = $",Table3[[#This Row],[ofs]])</f>
        <v>imgTwizzerSpin_1_ofs = $0204</v>
      </c>
    </row>
    <row r="261" spans="1:8" x14ac:dyDescent="0.25">
      <c r="A261" s="11" t="s">
        <v>1099</v>
      </c>
      <c r="B261" s="5">
        <f t="shared" si="3"/>
        <v>259</v>
      </c>
      <c r="C261" s="10" t="str">
        <f>DEC2HEX(Table3[[#This Row],[num]]*2,4)</f>
        <v>0206</v>
      </c>
      <c r="D261" s="11" t="s">
        <v>2304</v>
      </c>
      <c r="E261" s="11" t="s">
        <v>1805</v>
      </c>
      <c r="F261" s="12"/>
      <c r="G261" s="12"/>
      <c r="H261" s="4" t="str">
        <f>CONCATENATE("img",Table3[[#This Row],[name]],"_ofs = $",Table3[[#This Row],[ofs]])</f>
        <v>imgTwizzerSpin_2_ofs = $0206</v>
      </c>
    </row>
    <row r="262" spans="1:8" x14ac:dyDescent="0.25">
      <c r="A262" s="11" t="s">
        <v>1099</v>
      </c>
      <c r="B262" s="5">
        <f t="shared" ref="B262:B303" si="4">ROW()-2</f>
        <v>260</v>
      </c>
      <c r="C262" s="10" t="str">
        <f>DEC2HEX(Table3[[#This Row],[num]]*2,4)</f>
        <v>0208</v>
      </c>
      <c r="D262" s="11" t="s">
        <v>2305</v>
      </c>
      <c r="E262" s="11" t="s">
        <v>1806</v>
      </c>
      <c r="F262" s="12"/>
      <c r="G262" s="12"/>
      <c r="H262" s="4" t="str">
        <f>CONCATENATE("img",Table3[[#This Row],[name]],"_ofs = $",Table3[[#This Row],[ofs]])</f>
        <v>imgRoboZenL_0_ofs = $0208</v>
      </c>
    </row>
    <row r="263" spans="1:8" x14ac:dyDescent="0.25">
      <c r="A263" s="11" t="s">
        <v>1099</v>
      </c>
      <c r="B263" s="5">
        <f t="shared" si="4"/>
        <v>261</v>
      </c>
      <c r="C263" s="10" t="str">
        <f>DEC2HEX(Table3[[#This Row],[num]]*2,4)</f>
        <v>020A</v>
      </c>
      <c r="D263" s="11" t="s">
        <v>2306</v>
      </c>
      <c r="E263" s="11" t="s">
        <v>868</v>
      </c>
      <c r="F263" s="12"/>
      <c r="G263" s="12"/>
      <c r="H263" s="4" t="str">
        <f>CONCATENATE("img",Table3[[#This Row],[name]],"_ofs = $",Table3[[#This Row],[ofs]])</f>
        <v>imgRoboZenShootL_ofs = $020A</v>
      </c>
    </row>
    <row r="264" spans="1:8" x14ac:dyDescent="0.25">
      <c r="A264" s="11" t="s">
        <v>1099</v>
      </c>
      <c r="B264" s="5">
        <f t="shared" si="4"/>
        <v>262</v>
      </c>
      <c r="C264" s="10" t="str">
        <f>DEC2HEX(Table3[[#This Row],[num]]*2,4)</f>
        <v>020C</v>
      </c>
      <c r="D264" s="11" t="s">
        <v>2307</v>
      </c>
      <c r="E264" s="11" t="s">
        <v>1807</v>
      </c>
      <c r="F264" s="12"/>
      <c r="G264" s="12"/>
      <c r="H264" s="4" t="str">
        <f>CONCATENATE("img",Table3[[#This Row],[name]],"_ofs = $",Table3[[#This Row],[ofs]])</f>
        <v>imgRoboZenWindingL_1_ofs = $020C</v>
      </c>
    </row>
    <row r="265" spans="1:8" x14ac:dyDescent="0.25">
      <c r="A265" s="11" t="s">
        <v>1099</v>
      </c>
      <c r="B265" s="5">
        <f t="shared" si="4"/>
        <v>263</v>
      </c>
      <c r="C265" s="10" t="str">
        <f>DEC2HEX(Table3[[#This Row],[num]]*2,4)</f>
        <v>020E</v>
      </c>
      <c r="D265" s="11" t="s">
        <v>2308</v>
      </c>
      <c r="E265" s="11" t="s">
        <v>1808</v>
      </c>
      <c r="F265" s="12"/>
      <c r="G265" s="12"/>
      <c r="H265" s="4" t="str">
        <f>CONCATENATE("img",Table3[[#This Row],[name]],"_ofs = $",Table3[[#This Row],[ofs]])</f>
        <v>imgRoboZenWindingL_2_ofs = $020E</v>
      </c>
    </row>
    <row r="266" spans="1:8" x14ac:dyDescent="0.25">
      <c r="A266" s="11" t="s">
        <v>1099</v>
      </c>
      <c r="B266" s="5">
        <f t="shared" si="4"/>
        <v>264</v>
      </c>
      <c r="C266" s="10" t="str">
        <f>DEC2HEX(Table3[[#This Row],[num]]*2,4)</f>
        <v>0210</v>
      </c>
      <c r="D266" s="11" t="s">
        <v>2309</v>
      </c>
      <c r="E266" s="11" t="s">
        <v>1809</v>
      </c>
      <c r="F266" s="12"/>
      <c r="G266" s="12"/>
      <c r="H266" s="4" t="str">
        <f>CONCATENATE("img",Table3[[#This Row],[name]],"_ofs = $",Table3[[#This Row],[ofs]])</f>
        <v>imgRoboZenWindingL_3_ofs = $0210</v>
      </c>
    </row>
    <row r="267" spans="1:8" x14ac:dyDescent="0.25">
      <c r="A267" s="11" t="s">
        <v>1099</v>
      </c>
      <c r="B267" s="5">
        <f t="shared" si="4"/>
        <v>265</v>
      </c>
      <c r="C267" s="10" t="str">
        <f>DEC2HEX(Table3[[#This Row],[num]]*2,4)</f>
        <v>0212</v>
      </c>
      <c r="D267" s="11" t="s">
        <v>2310</v>
      </c>
      <c r="E267" s="11" t="s">
        <v>1810</v>
      </c>
      <c r="F267" s="12"/>
      <c r="G267" s="12"/>
      <c r="H267" s="4" t="str">
        <f>CONCATENATE("img",Table3[[#This Row],[name]],"_ofs = $",Table3[[#This Row],[ofs]])</f>
        <v>imgRoboZenR_0_ofs = $0212</v>
      </c>
    </row>
    <row r="268" spans="1:8" x14ac:dyDescent="0.25">
      <c r="A268" s="11" t="s">
        <v>1099</v>
      </c>
      <c r="B268" s="5">
        <f t="shared" si="4"/>
        <v>266</v>
      </c>
      <c r="C268" s="10" t="str">
        <f>DEC2HEX(Table3[[#This Row],[num]]*2,4)</f>
        <v>0214</v>
      </c>
      <c r="D268" s="11" t="s">
        <v>2311</v>
      </c>
      <c r="E268" s="11" t="s">
        <v>869</v>
      </c>
      <c r="F268" s="12"/>
      <c r="G268" s="12"/>
      <c r="H268" s="4" t="str">
        <f>CONCATENATE("img",Table3[[#This Row],[name]],"_ofs = $",Table3[[#This Row],[ofs]])</f>
        <v>imgRoboZenShootR_ofs = $0214</v>
      </c>
    </row>
    <row r="269" spans="1:8" x14ac:dyDescent="0.25">
      <c r="A269" s="11" t="s">
        <v>1099</v>
      </c>
      <c r="B269" s="5">
        <f t="shared" si="4"/>
        <v>267</v>
      </c>
      <c r="C269" s="10" t="str">
        <f>DEC2HEX(Table3[[#This Row],[num]]*2,4)</f>
        <v>0216</v>
      </c>
      <c r="D269" s="11" t="s">
        <v>2312</v>
      </c>
      <c r="E269" s="11" t="s">
        <v>1811</v>
      </c>
      <c r="F269" s="12"/>
      <c r="G269" s="12"/>
      <c r="H269" s="4" t="str">
        <f>CONCATENATE("img",Table3[[#This Row],[name]],"_ofs = $",Table3[[#This Row],[ofs]])</f>
        <v>imgRoboZenWindingR_1_ofs = $0216</v>
      </c>
    </row>
    <row r="270" spans="1:8" x14ac:dyDescent="0.25">
      <c r="A270" s="11" t="s">
        <v>1099</v>
      </c>
      <c r="B270" s="5">
        <f t="shared" si="4"/>
        <v>268</v>
      </c>
      <c r="C270" s="10" t="str">
        <f>DEC2HEX(Table3[[#This Row],[num]]*2,4)</f>
        <v>0218</v>
      </c>
      <c r="D270" s="11" t="s">
        <v>2313</v>
      </c>
      <c r="E270" s="11" t="s">
        <v>1812</v>
      </c>
      <c r="F270" s="12"/>
      <c r="G270" s="12"/>
      <c r="H270" s="4" t="str">
        <f>CONCATENATE("img",Table3[[#This Row],[name]],"_ofs = $",Table3[[#This Row],[ofs]])</f>
        <v>imgRoboZenWindingR_2_ofs = $0218</v>
      </c>
    </row>
    <row r="271" spans="1:8" x14ac:dyDescent="0.25">
      <c r="A271" s="11" t="s">
        <v>1099</v>
      </c>
      <c r="B271" s="5">
        <f t="shared" si="4"/>
        <v>269</v>
      </c>
      <c r="C271" s="10" t="str">
        <f>DEC2HEX(Table3[[#This Row],[num]]*2,4)</f>
        <v>021A</v>
      </c>
      <c r="D271" s="11" t="s">
        <v>2314</v>
      </c>
      <c r="E271" s="11" t="s">
        <v>1813</v>
      </c>
      <c r="F271" s="12"/>
      <c r="G271" s="12"/>
      <c r="H271" s="4" t="str">
        <f>CONCATENATE("img",Table3[[#This Row],[name]],"_ofs = $",Table3[[#This Row],[ofs]])</f>
        <v>imgRoboZenWindingR_3_ofs = $021A</v>
      </c>
    </row>
    <row r="272" spans="1:8" x14ac:dyDescent="0.25">
      <c r="A272" s="11" t="s">
        <v>1099</v>
      </c>
      <c r="B272" s="5">
        <f t="shared" si="4"/>
        <v>270</v>
      </c>
      <c r="C272" s="10" t="str">
        <f>DEC2HEX(Table3[[#This Row],[num]]*2,4)</f>
        <v>021C</v>
      </c>
      <c r="D272" s="11" t="s">
        <v>2315</v>
      </c>
      <c r="E272" s="11" t="s">
        <v>1814</v>
      </c>
      <c r="F272" s="12"/>
      <c r="G272" s="12"/>
      <c r="H272" s="4" t="str">
        <f>CONCATENATE("img",Table3[[#This Row],[name]],"_ofs = $",Table3[[#This Row],[ofs]])</f>
        <v>imgSnaggerAttackL_3_ofs = $021C</v>
      </c>
    </row>
    <row r="273" spans="1:8" x14ac:dyDescent="0.25">
      <c r="A273" s="11" t="s">
        <v>1099</v>
      </c>
      <c r="B273" s="5">
        <f t="shared" si="4"/>
        <v>271</v>
      </c>
      <c r="C273" s="10" t="str">
        <f>DEC2HEX(Table3[[#This Row],[num]]*2,4)</f>
        <v>021E</v>
      </c>
      <c r="D273" s="11" t="s">
        <v>2316</v>
      </c>
      <c r="E273" s="11" t="s">
        <v>1815</v>
      </c>
      <c r="F273" s="12"/>
      <c r="G273" s="12"/>
      <c r="H273" s="4" t="str">
        <f>CONCATENATE("img",Table3[[#This Row],[name]],"_ofs = $",Table3[[#This Row],[ofs]])</f>
        <v>imgSnaggerAttackR_3_ofs = $021E</v>
      </c>
    </row>
    <row r="274" spans="1:8" x14ac:dyDescent="0.25">
      <c r="A274" s="11" t="s">
        <v>1099</v>
      </c>
      <c r="B274" s="5">
        <f t="shared" si="4"/>
        <v>272</v>
      </c>
      <c r="C274" s="10" t="str">
        <f>DEC2HEX(Table3[[#This Row],[num]]*2,4)</f>
        <v>0220</v>
      </c>
      <c r="D274" s="11" t="s">
        <v>2317</v>
      </c>
      <c r="E274" s="11" t="s">
        <v>430</v>
      </c>
      <c r="F274" s="12"/>
      <c r="G274" s="12"/>
      <c r="H274" s="4" t="str">
        <f>CONCATENATE("img",Table3[[#This Row],[name]],"_ofs = $",Table3[[#This Row],[ofs]])</f>
        <v>imgKirikabun_ofs = $0220</v>
      </c>
    </row>
    <row r="275" spans="1:8" x14ac:dyDescent="0.25">
      <c r="A275" s="11" t="s">
        <v>1099</v>
      </c>
      <c r="B275" s="5">
        <f t="shared" si="4"/>
        <v>273</v>
      </c>
      <c r="C275" s="10" t="str">
        <f>DEC2HEX(Table3[[#This Row],[num]]*2,4)</f>
        <v>0222</v>
      </c>
      <c r="D275" s="11" t="s">
        <v>2318</v>
      </c>
      <c r="E275" s="11" t="s">
        <v>1816</v>
      </c>
      <c r="F275" s="12"/>
      <c r="G275" s="12"/>
      <c r="H275" s="4" t="str">
        <f>CONCATENATE("img",Table3[[#This Row],[name]],"_ofs = $",Table3[[#This Row],[ofs]])</f>
        <v>imgKirikabunDie_1_ofs = $0222</v>
      </c>
    </row>
    <row r="276" spans="1:8" x14ac:dyDescent="0.25">
      <c r="A276" s="11" t="s">
        <v>1099</v>
      </c>
      <c r="B276" s="5">
        <f t="shared" si="4"/>
        <v>274</v>
      </c>
      <c r="C276" s="10" t="str">
        <f>DEC2HEX(Table3[[#This Row],[num]]*2,4)</f>
        <v>0224</v>
      </c>
      <c r="D276" s="11" t="s">
        <v>2319</v>
      </c>
      <c r="E276" s="11" t="s">
        <v>872</v>
      </c>
      <c r="F276" s="12"/>
      <c r="G276" s="12"/>
      <c r="H276" s="4" t="str">
        <f>CONCATENATE("img",Table3[[#This Row],[name]],"_ofs = $",Table3[[#This Row],[ofs]])</f>
        <v>imgKirikabunBlink_ofs = $0224</v>
      </c>
    </row>
    <row r="277" spans="1:8" x14ac:dyDescent="0.25">
      <c r="A277" s="11" t="s">
        <v>1099</v>
      </c>
      <c r="B277" s="5">
        <f t="shared" si="4"/>
        <v>275</v>
      </c>
      <c r="C277" s="10" t="str">
        <f>DEC2HEX(Table3[[#This Row],[num]]*2,4)</f>
        <v>0226</v>
      </c>
      <c r="D277" s="11" t="s">
        <v>2320</v>
      </c>
      <c r="E277" s="11" t="s">
        <v>1817</v>
      </c>
      <c r="F277" s="12"/>
      <c r="G277" s="12"/>
      <c r="H277" s="4" t="str">
        <f>CONCATENATE("img",Table3[[#This Row],[name]],"_ofs = $",Table3[[#This Row],[ofs]])</f>
        <v>imgFlutterfly_0_ofs = $0226</v>
      </c>
    </row>
    <row r="278" spans="1:8" x14ac:dyDescent="0.25">
      <c r="A278" s="11" t="s">
        <v>1099</v>
      </c>
      <c r="B278" s="5">
        <f t="shared" si="4"/>
        <v>276</v>
      </c>
      <c r="C278" s="10" t="str">
        <f>DEC2HEX(Table3[[#This Row],[num]]*2,4)</f>
        <v>0228</v>
      </c>
      <c r="D278" s="11" t="s">
        <v>2321</v>
      </c>
      <c r="E278" s="11" t="s">
        <v>1818</v>
      </c>
      <c r="F278" s="12"/>
      <c r="G278" s="12"/>
      <c r="H278" s="4" t="str">
        <f>CONCATENATE("img",Table3[[#This Row],[name]],"_ofs = $",Table3[[#This Row],[ofs]])</f>
        <v>imgFlutterfly_1_ofs = $0228</v>
      </c>
    </row>
    <row r="279" spans="1:8" x14ac:dyDescent="0.25">
      <c r="A279" s="11" t="s">
        <v>1099</v>
      </c>
      <c r="B279" s="5">
        <f t="shared" si="4"/>
        <v>277</v>
      </c>
      <c r="C279" s="10" t="str">
        <f>DEC2HEX(Table3[[#This Row],[num]]*2,4)</f>
        <v>022A</v>
      </c>
      <c r="D279" s="11" t="s">
        <v>2322</v>
      </c>
      <c r="E279" s="11" t="s">
        <v>1819</v>
      </c>
      <c r="F279" s="12"/>
      <c r="G279" s="12"/>
      <c r="H279" s="4" t="str">
        <f>CONCATENATE("img",Table3[[#This Row],[name]],"_ofs = $",Table3[[#This Row],[ofs]])</f>
        <v>imgUNK56_0_ofs = $022A</v>
      </c>
    </row>
    <row r="280" spans="1:8" x14ac:dyDescent="0.25">
      <c r="A280" s="11" t="s">
        <v>1099</v>
      </c>
      <c r="B280" s="5">
        <f t="shared" si="4"/>
        <v>278</v>
      </c>
      <c r="C280" s="10" t="str">
        <f>DEC2HEX(Table3[[#This Row],[num]]*2,4)</f>
        <v>022C</v>
      </c>
      <c r="D280" s="11" t="s">
        <v>2323</v>
      </c>
      <c r="E280" s="11" t="s">
        <v>1820</v>
      </c>
      <c r="F280" s="12"/>
      <c r="G280" s="12"/>
      <c r="H280" s="4" t="str">
        <f>CONCATENATE("img",Table3[[#This Row],[name]],"_ofs = $",Table3[[#This Row],[ofs]])</f>
        <v>imgUNK56_1_ofs = $022C</v>
      </c>
    </row>
    <row r="281" spans="1:8" x14ac:dyDescent="0.25">
      <c r="A281" s="11" t="s">
        <v>1099</v>
      </c>
      <c r="B281" s="5">
        <f t="shared" si="4"/>
        <v>279</v>
      </c>
      <c r="C281" s="10" t="str">
        <f>DEC2HEX(Table3[[#This Row],[num]]*2,4)</f>
        <v>022E</v>
      </c>
      <c r="D281" s="11" t="s">
        <v>2324</v>
      </c>
      <c r="E281" s="11" t="s">
        <v>1821</v>
      </c>
      <c r="F281" s="12"/>
      <c r="G281" s="12"/>
      <c r="H281" s="4" t="str">
        <f>CONCATENATE("img",Table3[[#This Row],[name]],"_ofs = $",Table3[[#This Row],[ofs]])</f>
        <v>imgFlutterflyDie_0_ofs = $022E</v>
      </c>
    </row>
    <row r="282" spans="1:8" x14ac:dyDescent="0.25">
      <c r="A282" s="11" t="s">
        <v>1099</v>
      </c>
      <c r="B282" s="5">
        <f t="shared" si="4"/>
        <v>280</v>
      </c>
      <c r="C282" s="10" t="str">
        <f>DEC2HEX(Table3[[#This Row],[num]]*2,4)</f>
        <v>0230</v>
      </c>
      <c r="D282" s="11" t="s">
        <v>2325</v>
      </c>
      <c r="E282" s="11" t="s">
        <v>1822</v>
      </c>
      <c r="F282" s="12"/>
      <c r="G282" s="12"/>
      <c r="H282" s="4" t="str">
        <f>CONCATENATE("img",Table3[[#This Row],[name]],"_ofs = $",Table3[[#This Row],[ofs]])</f>
        <v>imgFlutterflyDie_1_ofs = $0230</v>
      </c>
    </row>
    <row r="283" spans="1:8" x14ac:dyDescent="0.25">
      <c r="A283" s="11" t="s">
        <v>1099</v>
      </c>
      <c r="B283" s="5">
        <f t="shared" si="4"/>
        <v>281</v>
      </c>
      <c r="C283" s="10" t="str">
        <f>DEC2HEX(Table3[[#This Row],[num]]*2,4)</f>
        <v>0232</v>
      </c>
      <c r="D283" s="11" t="s">
        <v>2326</v>
      </c>
      <c r="E283" s="11" t="s">
        <v>1823</v>
      </c>
      <c r="F283" s="12"/>
      <c r="G283" s="12"/>
      <c r="H283" s="4" t="str">
        <f>CONCATENATE("img",Table3[[#This Row],[name]],"_ofs = $",Table3[[#This Row],[ofs]])</f>
        <v>imgFlutterflyDie_2_ofs = $0232</v>
      </c>
    </row>
    <row r="284" spans="1:8" x14ac:dyDescent="0.25">
      <c r="A284" s="11" t="s">
        <v>1099</v>
      </c>
      <c r="B284" s="5">
        <f t="shared" si="4"/>
        <v>282</v>
      </c>
      <c r="C284" s="10" t="str">
        <f>DEC2HEX(Table3[[#This Row],[num]]*2,4)</f>
        <v>0234</v>
      </c>
      <c r="D284" s="11" t="s">
        <v>2327</v>
      </c>
      <c r="E284" s="11" t="s">
        <v>1824</v>
      </c>
      <c r="F284" s="12"/>
      <c r="G284" s="12"/>
      <c r="H284" s="4" t="str">
        <f>CONCATENATE("img",Table3[[#This Row],[name]],"_ofs = $",Table3[[#This Row],[ofs]])</f>
        <v>imgFlutterflyDie_3_ofs = $0234</v>
      </c>
    </row>
    <row r="285" spans="1:8" x14ac:dyDescent="0.25">
      <c r="A285" s="11" t="s">
        <v>1099</v>
      </c>
      <c r="B285" s="5">
        <f t="shared" si="4"/>
        <v>283</v>
      </c>
      <c r="C285" s="10" t="str">
        <f>DEC2HEX(Table3[[#This Row],[num]]*2,4)</f>
        <v>0236</v>
      </c>
      <c r="D285" s="11" t="s">
        <v>2328</v>
      </c>
      <c r="E285" s="11" t="s">
        <v>1825</v>
      </c>
      <c r="F285" s="12"/>
      <c r="G285" s="12"/>
      <c r="H285" s="4" t="str">
        <f>CONCATENATE("img",Table3[[#This Row],[name]],"_ofs = $",Table3[[#This Row],[ofs]])</f>
        <v>imgFlutterflyTrapped_0_ofs = $0236</v>
      </c>
    </row>
    <row r="286" spans="1:8" x14ac:dyDescent="0.25">
      <c r="A286" s="11" t="s">
        <v>1099</v>
      </c>
      <c r="B286" s="5">
        <f t="shared" si="4"/>
        <v>284</v>
      </c>
      <c r="C286" s="10" t="str">
        <f>DEC2HEX(Table3[[#This Row],[num]]*2,4)</f>
        <v>0238</v>
      </c>
      <c r="D286" s="11" t="s">
        <v>2329</v>
      </c>
      <c r="E286" s="11" t="s">
        <v>1826</v>
      </c>
      <c r="F286" s="12"/>
      <c r="G286" s="12"/>
      <c r="H286" s="4" t="str">
        <f>CONCATENATE("img",Table3[[#This Row],[name]],"_ofs = $",Table3[[#This Row],[ofs]])</f>
        <v>imgFlutterflyTrapped_1_ofs = $0238</v>
      </c>
    </row>
    <row r="287" spans="1:8" x14ac:dyDescent="0.25">
      <c r="A287" s="11" t="s">
        <v>1099</v>
      </c>
      <c r="B287" s="5">
        <f t="shared" si="4"/>
        <v>285</v>
      </c>
      <c r="C287" s="10" t="str">
        <f>DEC2HEX(Table3[[#This Row],[num]]*2,4)</f>
        <v>023A</v>
      </c>
      <c r="D287" s="11" t="s">
        <v>2330</v>
      </c>
      <c r="E287" s="11" t="s">
        <v>1827</v>
      </c>
      <c r="F287" s="12"/>
      <c r="G287" s="12"/>
      <c r="H287" s="4" t="str">
        <f>CONCATENATE("img",Table3[[#This Row],[name]],"_ofs = $",Table3[[#This Row],[ofs]])</f>
        <v>imgFlutterflyTrapped_2_ofs = $023A</v>
      </c>
    </row>
    <row r="288" spans="1:8" x14ac:dyDescent="0.25">
      <c r="A288" s="11" t="s">
        <v>1099</v>
      </c>
      <c r="B288" s="5">
        <f t="shared" si="4"/>
        <v>286</v>
      </c>
      <c r="C288" s="10" t="str">
        <f>DEC2HEX(Table3[[#This Row],[num]]*2,4)</f>
        <v>023C</v>
      </c>
      <c r="D288" s="11" t="s">
        <v>2331</v>
      </c>
      <c r="E288" s="11" t="s">
        <v>1828</v>
      </c>
      <c r="F288" s="12"/>
      <c r="G288" s="12"/>
      <c r="H288" s="4" t="str">
        <f>CONCATENATE("img",Table3[[#This Row],[name]],"_ofs = $",Table3[[#This Row],[ofs]])</f>
        <v>imgHeitaiKunPara_1_ofs = $023C</v>
      </c>
    </row>
    <row r="289" spans="1:8" x14ac:dyDescent="0.25">
      <c r="A289" s="11" t="s">
        <v>1099</v>
      </c>
      <c r="B289" s="5">
        <f t="shared" si="4"/>
        <v>287</v>
      </c>
      <c r="C289" s="10" t="str">
        <f>DEC2HEX(Table3[[#This Row],[num]]*2,4)</f>
        <v>023E</v>
      </c>
      <c r="D289" s="11" t="s">
        <v>2332</v>
      </c>
      <c r="E289" s="11" t="s">
        <v>1829</v>
      </c>
      <c r="F289" s="12"/>
      <c r="G289" s="12"/>
      <c r="H289" s="4" t="str">
        <f>CONCATENATE("img",Table3[[#This Row],[name]],"_ofs = $",Table3[[#This Row],[ofs]])</f>
        <v>imgSnaggerDie_0_ofs = $023E</v>
      </c>
    </row>
    <row r="290" spans="1:8" x14ac:dyDescent="0.25">
      <c r="A290" s="11" t="s">
        <v>1099</v>
      </c>
      <c r="B290" s="5">
        <f t="shared" si="4"/>
        <v>288</v>
      </c>
      <c r="C290" s="10" t="str">
        <f>DEC2HEX(Table3[[#This Row],[num]]*2,4)</f>
        <v>0240</v>
      </c>
      <c r="D290" s="11" t="s">
        <v>2333</v>
      </c>
      <c r="E290" s="11" t="s">
        <v>1830</v>
      </c>
      <c r="F290" s="12"/>
      <c r="G290" s="12"/>
      <c r="H290" s="4" t="str">
        <f>CONCATENATE("img",Table3[[#This Row],[name]],"_ofs = $",Table3[[#This Row],[ofs]])</f>
        <v>imgSnaggerDie_1_ofs = $0240</v>
      </c>
    </row>
    <row r="291" spans="1:8" x14ac:dyDescent="0.25">
      <c r="A291" s="11" t="s">
        <v>1099</v>
      </c>
      <c r="B291" s="5">
        <f t="shared" si="4"/>
        <v>289</v>
      </c>
      <c r="C291" s="10" t="str">
        <f>DEC2HEX(Table3[[#This Row],[num]]*2,4)</f>
        <v>0242</v>
      </c>
      <c r="D291" s="11" t="s">
        <v>2334</v>
      </c>
      <c r="E291" s="11" t="s">
        <v>1831</v>
      </c>
      <c r="F291" s="12"/>
      <c r="G291" s="12"/>
      <c r="H291" s="4" t="str">
        <f>CONCATENATE("img",Table3[[#This Row],[name]],"_ofs = $",Table3[[#This Row],[ofs]])</f>
        <v>imgSnaggerDie_2_ofs = $0242</v>
      </c>
    </row>
    <row r="292" spans="1:8" x14ac:dyDescent="0.25">
      <c r="A292" s="11" t="s">
        <v>1099</v>
      </c>
      <c r="B292" s="5">
        <f t="shared" si="4"/>
        <v>290</v>
      </c>
      <c r="C292" s="10" t="str">
        <f>DEC2HEX(Table3[[#This Row],[num]]*2,4)</f>
        <v>0244</v>
      </c>
      <c r="D292" s="11" t="s">
        <v>2335</v>
      </c>
      <c r="E292" s="11" t="s">
        <v>1832</v>
      </c>
      <c r="F292" s="12"/>
      <c r="G292" s="12"/>
      <c r="H292" s="4" t="str">
        <f>CONCATENATE("img",Table3[[#This Row],[name]],"_ofs = $",Table3[[#This Row],[ofs]])</f>
        <v>imgSnaggerDie_3_ofs = $0244</v>
      </c>
    </row>
    <row r="293" spans="1:8" x14ac:dyDescent="0.25">
      <c r="A293" s="11" t="s">
        <v>1099</v>
      </c>
      <c r="B293" s="5">
        <f t="shared" si="4"/>
        <v>291</v>
      </c>
      <c r="C293" s="10" t="str">
        <f>DEC2HEX(Table3[[#This Row],[num]]*2,4)</f>
        <v>0246</v>
      </c>
      <c r="D293" s="11" t="s">
        <v>2336</v>
      </c>
      <c r="E293" s="11" t="s">
        <v>1057</v>
      </c>
      <c r="F293" s="12"/>
      <c r="G293" s="12"/>
      <c r="H293" s="4" t="str">
        <f>CONCATENATE("img",Table3[[#This Row],[name]],"_ofs = $",Table3[[#This Row],[ofs]])</f>
        <v>imgBigPudding_ofs = $0246</v>
      </c>
    </row>
    <row r="294" spans="1:8" x14ac:dyDescent="0.25">
      <c r="A294" s="11" t="s">
        <v>1099</v>
      </c>
      <c r="B294" s="5">
        <f t="shared" si="4"/>
        <v>292</v>
      </c>
      <c r="C294" s="10" t="str">
        <f>DEC2HEX(Table3[[#This Row],[num]]*2,4)</f>
        <v>0248</v>
      </c>
      <c r="D294" s="11" t="s">
        <v>2337</v>
      </c>
      <c r="E294" s="11" t="s">
        <v>1058</v>
      </c>
      <c r="F294" s="12"/>
      <c r="G294" s="12"/>
      <c r="H294" s="4" t="str">
        <f>CONCATENATE("img",Table3[[#This Row],[name]],"_ofs = $",Table3[[#This Row],[ofs]])</f>
        <v>imgBigPineapple_ofs = $0248</v>
      </c>
    </row>
    <row r="295" spans="1:8" x14ac:dyDescent="0.25">
      <c r="A295" s="11" t="s">
        <v>1099</v>
      </c>
      <c r="B295" s="5">
        <f t="shared" si="4"/>
        <v>293</v>
      </c>
      <c r="C295" s="10" t="str">
        <f>DEC2HEX(Table3[[#This Row],[num]]*2,4)</f>
        <v>024A</v>
      </c>
      <c r="D295" s="11" t="s">
        <v>2338</v>
      </c>
      <c r="E295" s="11" t="s">
        <v>1059</v>
      </c>
      <c r="F295" s="12"/>
      <c r="G295" s="12"/>
      <c r="H295" s="4" t="str">
        <f>CONCATENATE("img",Table3[[#This Row],[name]],"_ofs = $",Table3[[#This Row],[ofs]])</f>
        <v>imgBigHamburger_ofs = $024A</v>
      </c>
    </row>
    <row r="296" spans="1:8" x14ac:dyDescent="0.25">
      <c r="A296" s="11" t="s">
        <v>1099</v>
      </c>
      <c r="B296" s="5">
        <f t="shared" si="4"/>
        <v>294</v>
      </c>
      <c r="C296" s="10" t="str">
        <f>DEC2HEX(Table3[[#This Row],[num]]*2,4)</f>
        <v>024C</v>
      </c>
      <c r="D296" s="11" t="s">
        <v>2339</v>
      </c>
      <c r="E296" s="11" t="s">
        <v>1526</v>
      </c>
      <c r="F296" s="12"/>
      <c r="G296" s="12"/>
      <c r="H296" s="4" t="str">
        <f>CONCATENATE("img",Table3[[#This Row],[name]],"_ofs = $",Table3[[#This Row],[ofs]])</f>
        <v>imgBigDessert_ofs = $024C</v>
      </c>
    </row>
    <row r="297" spans="1:8" x14ac:dyDescent="0.25">
      <c r="A297" s="11" t="s">
        <v>1099</v>
      </c>
      <c r="B297" s="5">
        <f t="shared" si="4"/>
        <v>295</v>
      </c>
      <c r="C297" s="10" t="str">
        <f>DEC2HEX(Table3[[#This Row],[num]]*2,4)</f>
        <v>024E</v>
      </c>
      <c r="D297" s="11" t="s">
        <v>2340</v>
      </c>
      <c r="E297" s="11" t="s">
        <v>1060</v>
      </c>
      <c r="F297" s="12"/>
      <c r="G297" s="12"/>
      <c r="H297" s="4" t="str">
        <f>CONCATENATE("img",Table3[[#This Row],[name]],"_ofs = $",Table3[[#This Row],[ofs]])</f>
        <v>imgBigFieldPeas_ofs = $024E</v>
      </c>
    </row>
    <row r="298" spans="1:8" x14ac:dyDescent="0.25">
      <c r="A298" s="11" t="s">
        <v>1099</v>
      </c>
      <c r="B298" s="5">
        <f t="shared" si="4"/>
        <v>296</v>
      </c>
      <c r="C298" s="10" t="str">
        <f>DEC2HEX(Table3[[#This Row],[num]]*2,4)</f>
        <v>0250</v>
      </c>
      <c r="D298" s="11" t="s">
        <v>2341</v>
      </c>
      <c r="E298" s="11" t="s">
        <v>1000</v>
      </c>
      <c r="F298" s="12"/>
      <c r="G298" s="12"/>
      <c r="H298" s="4" t="str">
        <f>CONCATENATE("img",Table3[[#This Row],[name]],"_ofs = $",Table3[[#This Row],[ofs]])</f>
        <v>imgChuckerBlast_ofs = $0250</v>
      </c>
    </row>
    <row r="299" spans="1:8" x14ac:dyDescent="0.25">
      <c r="A299" s="11" t="s">
        <v>1099</v>
      </c>
      <c r="B299" s="5">
        <f t="shared" si="4"/>
        <v>297</v>
      </c>
      <c r="C299" s="10" t="str">
        <f>DEC2HEX(Table3[[#This Row],[num]]*2,4)</f>
        <v>0252</v>
      </c>
      <c r="D299" s="11" t="s">
        <v>2341</v>
      </c>
      <c r="E299" s="11" t="s">
        <v>1833</v>
      </c>
      <c r="F299" s="12"/>
      <c r="G299" s="12" t="s">
        <v>900</v>
      </c>
      <c r="H299" s="4" t="str">
        <f>CONCATENATE("img",Table3[[#This Row],[name]],"_ofs = $",Table3[[#This Row],[ofs]])</f>
        <v>imgUNK04_0252_ofs = $0252</v>
      </c>
    </row>
    <row r="300" spans="1:8" x14ac:dyDescent="0.25">
      <c r="A300" s="11" t="s">
        <v>1099</v>
      </c>
      <c r="B300" s="5">
        <f t="shared" si="4"/>
        <v>298</v>
      </c>
      <c r="C300" s="10" t="str">
        <f>DEC2HEX(Table3[[#This Row],[num]]*2,4)</f>
        <v>0254</v>
      </c>
      <c r="D300" s="11" t="s">
        <v>2342</v>
      </c>
      <c r="E300" s="11" t="s">
        <v>1834</v>
      </c>
      <c r="F300" s="12"/>
      <c r="G300" s="12"/>
      <c r="H300" s="4" t="str">
        <f>CONCATENATE("img",Table3[[#This Row],[name]],"_ofs = $",Table3[[#This Row],[ofs]])</f>
        <v>imgBlobbyUnderL_0_ofs = $0254</v>
      </c>
    </row>
    <row r="301" spans="1:8" x14ac:dyDescent="0.25">
      <c r="A301" s="11" t="s">
        <v>1099</v>
      </c>
      <c r="B301" s="5">
        <f t="shared" si="4"/>
        <v>299</v>
      </c>
      <c r="C301" s="10" t="str">
        <f>DEC2HEX(Table3[[#This Row],[num]]*2,4)</f>
        <v>0256</v>
      </c>
      <c r="D301" s="11" t="s">
        <v>2343</v>
      </c>
      <c r="E301" s="11" t="s">
        <v>1835</v>
      </c>
      <c r="F301" s="12"/>
      <c r="G301" s="12"/>
      <c r="H301" s="4" t="str">
        <f>CONCATENATE("img",Table3[[#This Row],[name]],"_ofs = $",Table3[[#This Row],[ofs]])</f>
        <v>imgBlobbyUnderL_1_ofs = $0256</v>
      </c>
    </row>
    <row r="302" spans="1:8" x14ac:dyDescent="0.25">
      <c r="A302" s="11" t="s">
        <v>1099</v>
      </c>
      <c r="B302" s="5">
        <f t="shared" si="4"/>
        <v>300</v>
      </c>
      <c r="C302" s="10" t="str">
        <f>DEC2HEX(Table3[[#This Row],[num]]*2,4)</f>
        <v>0258</v>
      </c>
      <c r="D302" s="11" t="s">
        <v>2344</v>
      </c>
      <c r="E302" s="11" t="s">
        <v>1836</v>
      </c>
      <c r="F302" s="12"/>
      <c r="G302" s="12"/>
      <c r="H302" s="4" t="str">
        <f>CONCATENATE("img",Table3[[#This Row],[name]],"_ofs = $",Table3[[#This Row],[ofs]])</f>
        <v>imgBlobbyUnderR_0_ofs = $0258</v>
      </c>
    </row>
    <row r="303" spans="1:8" x14ac:dyDescent="0.25">
      <c r="A303" s="11" t="s">
        <v>1099</v>
      </c>
      <c r="B303" s="5">
        <f t="shared" si="4"/>
        <v>301</v>
      </c>
      <c r="C303" s="10" t="str">
        <f>DEC2HEX(Table3[[#This Row],[num]]*2,4)</f>
        <v>025A</v>
      </c>
      <c r="D303" s="11" t="s">
        <v>2345</v>
      </c>
      <c r="E303" s="11" t="s">
        <v>1837</v>
      </c>
      <c r="F303" s="12"/>
      <c r="G303" s="12"/>
      <c r="H303" s="4" t="str">
        <f>CONCATENATE("img",Table3[[#This Row],[name]],"_ofs = $",Table3[[#This Row],[ofs]])</f>
        <v>imgBlobbyUnderR_1_ofs = $025A</v>
      </c>
    </row>
    <row r="304" spans="1:8" x14ac:dyDescent="0.25">
      <c r="A304" s="11" t="s">
        <v>1105</v>
      </c>
      <c r="B304" s="5">
        <f>ROW()-2-302</f>
        <v>0</v>
      </c>
      <c r="C304" s="10" t="str">
        <f>DEC2HEX(Table3[[#This Row],[num]]*2,4)</f>
        <v>0000</v>
      </c>
      <c r="D304" s="11" t="s">
        <v>2346</v>
      </c>
      <c r="E304" s="11" t="s">
        <v>1838</v>
      </c>
      <c r="F304" s="12"/>
      <c r="G304" s="12"/>
      <c r="H304" s="4" t="str">
        <f>CONCATENATE("img",Table3[[#This Row],[name]],"_ofs = $",Table3[[#This Row],[ofs]])</f>
        <v>imgDummy_Copy_ofs = $0000</v>
      </c>
    </row>
    <row r="305" spans="1:8" x14ac:dyDescent="0.25">
      <c r="A305" s="11" t="s">
        <v>1105</v>
      </c>
      <c r="B305" s="5">
        <f>ROW()-2-302</f>
        <v>1</v>
      </c>
      <c r="C305" s="10" t="str">
        <f>DEC2HEX(Table3[[#This Row],[num]]*2,4)</f>
        <v>0002</v>
      </c>
      <c r="D305" s="11" t="s">
        <v>2347</v>
      </c>
      <c r="E305" s="11" t="s">
        <v>1839</v>
      </c>
      <c r="F305" s="12"/>
      <c r="G305" s="12"/>
      <c r="H305" s="4" t="str">
        <f>CONCATENATE("img",Table3[[#This Row],[name]],"_ofs = $",Table3[[#This Row],[ofs]])</f>
        <v>imgPlayerL_Copy_ofs = $0002</v>
      </c>
    </row>
    <row r="306" spans="1:8" x14ac:dyDescent="0.25">
      <c r="A306" s="11" t="s">
        <v>1105</v>
      </c>
      <c r="B306" s="5">
        <f t="shared" ref="B306:B369" si="5">ROW()-2-302</f>
        <v>2</v>
      </c>
      <c r="C306" s="10" t="str">
        <f>DEC2HEX(Table3[[#This Row],[num]]*2,4)</f>
        <v>0004</v>
      </c>
      <c r="D306" s="11" t="s">
        <v>2348</v>
      </c>
      <c r="E306" s="11" t="s">
        <v>1840</v>
      </c>
      <c r="F306" s="12"/>
      <c r="G306" s="12"/>
      <c r="H306" s="4" t="str">
        <f>CONCATENATE("img",Table3[[#This Row],[name]],"_ofs = $",Table3[[#This Row],[ofs]])</f>
        <v>imgPlayerJumpL_0_Copy_ofs = $0004</v>
      </c>
    </row>
    <row r="307" spans="1:8" x14ac:dyDescent="0.25">
      <c r="A307" s="11" t="s">
        <v>1105</v>
      </c>
      <c r="B307" s="5">
        <f t="shared" si="5"/>
        <v>3</v>
      </c>
      <c r="C307" s="10" t="str">
        <f>DEC2HEX(Table3[[#This Row],[num]]*2,4)</f>
        <v>0006</v>
      </c>
      <c r="D307" s="11" t="s">
        <v>2349</v>
      </c>
      <c r="E307" s="11" t="s">
        <v>1841</v>
      </c>
      <c r="F307" s="12"/>
      <c r="G307" s="12"/>
      <c r="H307" s="4" t="str">
        <f>CONCATENATE("img",Table3[[#This Row],[name]],"_ofs = $",Table3[[#This Row],[ofs]])</f>
        <v>imgUNK0B_0_Copy_ofs = $0006</v>
      </c>
    </row>
    <row r="308" spans="1:8" x14ac:dyDescent="0.25">
      <c r="A308" s="11" t="s">
        <v>1105</v>
      </c>
      <c r="B308" s="5">
        <f t="shared" si="5"/>
        <v>4</v>
      </c>
      <c r="C308" s="10" t="str">
        <f>DEC2HEX(Table3[[#This Row],[num]]*2,4)</f>
        <v>0008</v>
      </c>
      <c r="D308" s="11" t="s">
        <v>2350</v>
      </c>
      <c r="E308" s="11" t="s">
        <v>1842</v>
      </c>
      <c r="F308" s="12"/>
      <c r="G308" s="12"/>
      <c r="H308" s="4" t="str">
        <f>CONCATENATE("img",Table3[[#This Row],[name]],"_ofs = $",Table3[[#This Row],[ofs]])</f>
        <v>imgPlayerR_Copy_ofs = $0008</v>
      </c>
    </row>
    <row r="309" spans="1:8" x14ac:dyDescent="0.25">
      <c r="A309" s="11" t="s">
        <v>1105</v>
      </c>
      <c r="B309" s="5">
        <f t="shared" si="5"/>
        <v>5</v>
      </c>
      <c r="C309" s="10" t="str">
        <f>DEC2HEX(Table3[[#This Row],[num]]*2,4)</f>
        <v>000A</v>
      </c>
      <c r="D309" s="11" t="s">
        <v>2351</v>
      </c>
      <c r="E309" s="11" t="s">
        <v>1843</v>
      </c>
      <c r="F309" s="12"/>
      <c r="G309" s="12"/>
      <c r="H309" s="4" t="str">
        <f>CONCATENATE("img",Table3[[#This Row],[name]],"_ofs = $",Table3[[#This Row],[ofs]])</f>
        <v>imgPlayerJumpR_0_Copy_ofs = $000A</v>
      </c>
    </row>
    <row r="310" spans="1:8" x14ac:dyDescent="0.25">
      <c r="A310" s="11" t="s">
        <v>1105</v>
      </c>
      <c r="B310" s="5">
        <f t="shared" si="5"/>
        <v>6</v>
      </c>
      <c r="C310" s="10" t="str">
        <f>DEC2HEX(Table3[[#This Row],[num]]*2,4)</f>
        <v>000C</v>
      </c>
      <c r="D310" s="11" t="s">
        <v>2352</v>
      </c>
      <c r="E310" s="11" t="s">
        <v>1844</v>
      </c>
      <c r="F310" s="12"/>
      <c r="G310" s="12"/>
      <c r="H310" s="4" t="str">
        <f>CONCATENATE("img",Table3[[#This Row],[name]],"_ofs = $",Table3[[#This Row],[ofs]])</f>
        <v>imgUNK0B_1_Copy_ofs = $000C</v>
      </c>
    </row>
    <row r="311" spans="1:8" x14ac:dyDescent="0.25">
      <c r="A311" s="11" t="s">
        <v>1105</v>
      </c>
      <c r="B311" s="5">
        <f t="shared" si="5"/>
        <v>7</v>
      </c>
      <c r="C311" s="10" t="str">
        <f>DEC2HEX(Table3[[#This Row],[num]]*2,4)</f>
        <v>000E</v>
      </c>
      <c r="D311" s="11" t="s">
        <v>2353</v>
      </c>
      <c r="E311" s="11" t="s">
        <v>1845</v>
      </c>
      <c r="F311" s="12"/>
      <c r="G311" s="12"/>
      <c r="H311" s="4" t="str">
        <f>CONCATENATE("img",Table3[[#This Row],[name]],"_ofs = $",Table3[[#This Row],[ofs]])</f>
        <v>imgPlayerRotateL_0_Copy_ofs = $000E</v>
      </c>
    </row>
    <row r="312" spans="1:8" x14ac:dyDescent="0.25">
      <c r="A312" s="11" t="s">
        <v>1105</v>
      </c>
      <c r="B312" s="5">
        <f t="shared" si="5"/>
        <v>8</v>
      </c>
      <c r="C312" s="10" t="str">
        <f>DEC2HEX(Table3[[#This Row],[num]]*2,4)</f>
        <v>0010</v>
      </c>
      <c r="D312" s="11" t="s">
        <v>2354</v>
      </c>
      <c r="E312" s="11" t="s">
        <v>1846</v>
      </c>
      <c r="F312" s="12"/>
      <c r="G312" s="12"/>
      <c r="H312" s="4" t="str">
        <f>CONCATENATE("img",Table3[[#This Row],[name]],"_ofs = $",Table3[[#This Row],[ofs]])</f>
        <v>imgPlayerRotateR_0_Copy_ofs = $0010</v>
      </c>
    </row>
    <row r="313" spans="1:8" x14ac:dyDescent="0.25">
      <c r="A313" s="11" t="s">
        <v>1105</v>
      </c>
      <c r="B313" s="5">
        <f t="shared" si="5"/>
        <v>9</v>
      </c>
      <c r="C313" s="10" t="str">
        <f>DEC2HEX(Table3[[#This Row],[num]]*2,4)</f>
        <v>0012</v>
      </c>
      <c r="D313" s="11" t="s">
        <v>2355</v>
      </c>
      <c r="E313" s="11" t="s">
        <v>996</v>
      </c>
      <c r="F313" s="12"/>
      <c r="G313" s="12"/>
      <c r="H313" s="4" t="str">
        <f>CONCATENATE("img",Table3[[#This Row],[name]],"_ofs = $",Table3[[#This Row],[ofs]])</f>
        <v>imgPlayerSmallL_ofs = $0012</v>
      </c>
    </row>
    <row r="314" spans="1:8" x14ac:dyDescent="0.25">
      <c r="A314" s="11" t="s">
        <v>1105</v>
      </c>
      <c r="B314" s="5">
        <f t="shared" si="5"/>
        <v>10</v>
      </c>
      <c r="C314" s="10" t="str">
        <f>DEC2HEX(Table3[[#This Row],[num]]*2,4)</f>
        <v>0014</v>
      </c>
      <c r="D314" s="11" t="s">
        <v>2356</v>
      </c>
      <c r="E314" s="11" t="s">
        <v>997</v>
      </c>
      <c r="F314" s="12"/>
      <c r="G314" s="12"/>
      <c r="H314" s="4" t="str">
        <f>CONCATENATE("img",Table3[[#This Row],[name]],"_ofs = $",Table3[[#This Row],[ofs]])</f>
        <v>imgPlayerSmallR_ofs = $0014</v>
      </c>
    </row>
    <row r="315" spans="1:8" x14ac:dyDescent="0.25">
      <c r="A315" s="11" t="s">
        <v>1105</v>
      </c>
      <c r="B315" s="5">
        <f t="shared" si="5"/>
        <v>11</v>
      </c>
      <c r="C315" s="10" t="str">
        <f>DEC2HEX(Table3[[#This Row],[num]]*2,4)</f>
        <v>0016</v>
      </c>
      <c r="D315" s="11" t="s">
        <v>2357</v>
      </c>
      <c r="E315" s="11" t="s">
        <v>1847</v>
      </c>
      <c r="F315" s="12"/>
      <c r="G315" s="12"/>
      <c r="H315" s="4" t="str">
        <f>CONCATENATE("img",Table3[[#This Row],[name]],"_ofs = $",Table3[[#This Row],[ofs]])</f>
        <v>imgBubble_0_Copy_ofs = $0016</v>
      </c>
    </row>
    <row r="316" spans="1:8" x14ac:dyDescent="0.25">
      <c r="A316" s="11" t="s">
        <v>1105</v>
      </c>
      <c r="B316" s="5">
        <f t="shared" si="5"/>
        <v>12</v>
      </c>
      <c r="C316" s="10" t="str">
        <f>DEC2HEX(Table3[[#This Row],[num]]*2,4)</f>
        <v>0018</v>
      </c>
      <c r="D316" s="11" t="s">
        <v>2358</v>
      </c>
      <c r="E316" s="11" t="s">
        <v>1848</v>
      </c>
      <c r="F316" s="12"/>
      <c r="G316" s="12"/>
      <c r="H316" s="4" t="str">
        <f>CONCATENATE("img",Table3[[#This Row],[name]],"_ofs = $",Table3[[#This Row],[ofs]])</f>
        <v>imgBubblePop_0_Copy_ofs = $0018</v>
      </c>
    </row>
    <row r="317" spans="1:8" x14ac:dyDescent="0.25">
      <c r="A317" s="11" t="s">
        <v>1105</v>
      </c>
      <c r="B317" s="5">
        <f t="shared" si="5"/>
        <v>13</v>
      </c>
      <c r="C317" s="10" t="str">
        <f>DEC2HEX(Table3[[#This Row],[num]]*2,4)</f>
        <v>001A</v>
      </c>
      <c r="D317" s="11" t="s">
        <v>2359</v>
      </c>
      <c r="E317" s="11" t="s">
        <v>1849</v>
      </c>
      <c r="F317" s="12"/>
      <c r="G317" s="12"/>
      <c r="H317" s="4" t="str">
        <f>CONCATENATE("img",Table3[[#This Row],[name]],"_ofs = $",Table3[[#This Row],[ofs]])</f>
        <v>imgBubblePop_1_Copy_ofs = $001A</v>
      </c>
    </row>
    <row r="318" spans="1:8" x14ac:dyDescent="0.25">
      <c r="A318" s="11" t="s">
        <v>1105</v>
      </c>
      <c r="B318" s="5">
        <f t="shared" si="5"/>
        <v>14</v>
      </c>
      <c r="C318" s="10" t="str">
        <f>DEC2HEX(Table3[[#This Row],[num]]*2,4)</f>
        <v>001C</v>
      </c>
      <c r="D318" s="11" t="s">
        <v>2360</v>
      </c>
      <c r="E318" s="11" t="s">
        <v>1850</v>
      </c>
      <c r="F318" s="12"/>
      <c r="G318" s="12"/>
      <c r="H318" s="4" t="str">
        <f>CONCATENATE("img",Table3[[#This Row],[name]],"_ofs = $",Table3[[#This Row],[ofs]])</f>
        <v>imgBubbleEmerge_0_Copy_ofs = $001C</v>
      </c>
    </row>
    <row r="319" spans="1:8" x14ac:dyDescent="0.25">
      <c r="A319" s="11" t="s">
        <v>1105</v>
      </c>
      <c r="B319" s="5">
        <f t="shared" si="5"/>
        <v>15</v>
      </c>
      <c r="C319" s="10" t="str">
        <f>DEC2HEX(Table3[[#This Row],[num]]*2,4)</f>
        <v>001E</v>
      </c>
      <c r="D319" s="11" t="s">
        <v>2361</v>
      </c>
      <c r="E319" s="11" t="s">
        <v>1851</v>
      </c>
      <c r="F319" s="12"/>
      <c r="G319" s="12"/>
      <c r="H319" s="4" t="str">
        <f>CONCATENATE("img",Table3[[#This Row],[name]],"_ofs = $",Table3[[#This Row],[ofs]])</f>
        <v>imgDoubleBubble_2_Copy_ofs = $001E</v>
      </c>
    </row>
    <row r="320" spans="1:8" x14ac:dyDescent="0.25">
      <c r="A320" s="11" t="s">
        <v>1105</v>
      </c>
      <c r="B320" s="5">
        <f t="shared" si="5"/>
        <v>16</v>
      </c>
      <c r="C320" s="10" t="str">
        <f>DEC2HEX(Table3[[#This Row],[num]]*2,4)</f>
        <v>0020</v>
      </c>
      <c r="D320" s="11" t="s">
        <v>2362</v>
      </c>
      <c r="E320" s="11" t="s">
        <v>1852</v>
      </c>
      <c r="F320" s="12"/>
      <c r="G320" s="12"/>
      <c r="H320" s="4" t="str">
        <f>CONCATENATE("img",Table3[[#This Row],[name]],"_ofs = $",Table3[[#This Row],[ofs]])</f>
        <v>imgTripleBubble_2_Copy_ofs = $0020</v>
      </c>
    </row>
    <row r="321" spans="1:8" x14ac:dyDescent="0.25">
      <c r="A321" s="11" t="s">
        <v>1105</v>
      </c>
      <c r="B321" s="5">
        <f t="shared" si="5"/>
        <v>17</v>
      </c>
      <c r="C321" s="10" t="str">
        <f>DEC2HEX(Table3[[#This Row],[num]]*2,4)</f>
        <v>0022</v>
      </c>
      <c r="D321" s="11" t="s">
        <v>2363</v>
      </c>
      <c r="E321" s="11" t="s">
        <v>1853</v>
      </c>
      <c r="F321" s="12"/>
      <c r="G321" s="12"/>
      <c r="H321" s="4" t="str">
        <f>CONCATENATE("img",Table3[[#This Row],[name]],"_ofs = $",Table3[[#This Row],[ofs]])</f>
        <v>imgThunderBubble_0_Copy_ofs = $0022</v>
      </c>
    </row>
    <row r="322" spans="1:8" x14ac:dyDescent="0.25">
      <c r="A322" s="11" t="s">
        <v>1105</v>
      </c>
      <c r="B322" s="5">
        <f t="shared" si="5"/>
        <v>18</v>
      </c>
      <c r="C322" s="10" t="str">
        <f>DEC2HEX(Table3[[#This Row],[num]]*2,4)</f>
        <v>0024</v>
      </c>
      <c r="D322" s="11" t="s">
        <v>2364</v>
      </c>
      <c r="E322" s="11" t="s">
        <v>1854</v>
      </c>
      <c r="F322" s="12"/>
      <c r="G322" s="12"/>
      <c r="H322" s="4" t="str">
        <f>CONCATENATE("img",Table3[[#This Row],[name]],"_ofs = $",Table3[[#This Row],[ofs]])</f>
        <v>imgThunderBubble_1_Copy_ofs = $0024</v>
      </c>
    </row>
    <row r="323" spans="1:8" x14ac:dyDescent="0.25">
      <c r="A323" s="11" t="s">
        <v>1105</v>
      </c>
      <c r="B323" s="5">
        <f t="shared" si="5"/>
        <v>19</v>
      </c>
      <c r="C323" s="10" t="str">
        <f>DEC2HEX(Table3[[#This Row],[num]]*2,4)</f>
        <v>0026</v>
      </c>
      <c r="D323" s="11" t="s">
        <v>2365</v>
      </c>
      <c r="E323" s="11" t="s">
        <v>1855</v>
      </c>
      <c r="F323" s="12"/>
      <c r="G323" s="12"/>
      <c r="H323" s="4" t="str">
        <f>CONCATENATE("img",Table3[[#This Row],[name]],"_ofs = $",Table3[[#This Row],[ofs]])</f>
        <v>imgThunder_Copy_ofs = $0026</v>
      </c>
    </row>
    <row r="324" spans="1:8" x14ac:dyDescent="0.25">
      <c r="A324" s="11" t="s">
        <v>1105</v>
      </c>
      <c r="B324" s="5">
        <f t="shared" si="5"/>
        <v>20</v>
      </c>
      <c r="C324" s="10" t="str">
        <f>DEC2HEX(Table3[[#This Row],[num]]*2,4)</f>
        <v>0028</v>
      </c>
      <c r="D324" s="11" t="s">
        <v>2366</v>
      </c>
      <c r="E324" s="11" t="s">
        <v>1856</v>
      </c>
      <c r="F324" s="12"/>
      <c r="G324" s="12"/>
      <c r="H324" s="4" t="str">
        <f>CONCATENATE("img",Table3[[#This Row],[name]],"_ofs = $",Table3[[#This Row],[ofs]])</f>
        <v>imgDrinkThunder_Copy_ofs = $0028</v>
      </c>
    </row>
    <row r="325" spans="1:8" x14ac:dyDescent="0.25">
      <c r="A325" s="11" t="s">
        <v>1105</v>
      </c>
      <c r="B325" s="5">
        <f t="shared" si="5"/>
        <v>21</v>
      </c>
      <c r="C325" s="10" t="str">
        <f>DEC2HEX(Table3[[#This Row],[num]]*2,4)</f>
        <v>002A</v>
      </c>
      <c r="D325" s="11" t="s">
        <v>2367</v>
      </c>
      <c r="E325" s="11" t="s">
        <v>1857</v>
      </c>
      <c r="F325" s="12"/>
      <c r="G325" s="12"/>
      <c r="H325" s="4" t="str">
        <f>CONCATENATE("img",Table3[[#This Row],[name]],"_ofs = $",Table3[[#This Row],[ofs]])</f>
        <v>imgShoe_Copy_ofs = $002A</v>
      </c>
    </row>
    <row r="326" spans="1:8" x14ac:dyDescent="0.25">
      <c r="A326" s="11" t="s">
        <v>1105</v>
      </c>
      <c r="B326" s="5">
        <f t="shared" si="5"/>
        <v>22</v>
      </c>
      <c r="C326" s="10" t="str">
        <f>DEC2HEX(Table3[[#This Row],[num]]*2,4)</f>
        <v>002C</v>
      </c>
      <c r="D326" s="11" t="s">
        <v>2368</v>
      </c>
      <c r="E326" s="11" t="s">
        <v>1858</v>
      </c>
      <c r="F326" s="12"/>
      <c r="G326" s="12"/>
      <c r="H326" s="4" t="str">
        <f>CONCATENATE("img",Table3[[#This Row],[name]],"_ofs = $",Table3[[#This Row],[ofs]])</f>
        <v>imgHolyCup_Copy_ofs = $002C</v>
      </c>
    </row>
    <row r="327" spans="1:8" x14ac:dyDescent="0.25">
      <c r="A327" s="11" t="s">
        <v>1105</v>
      </c>
      <c r="B327" s="5">
        <f t="shared" si="5"/>
        <v>23</v>
      </c>
      <c r="C327" s="10" t="str">
        <f>DEC2HEX(Table3[[#This Row],[num]]*2,4)</f>
        <v>002E</v>
      </c>
      <c r="D327" s="11" t="s">
        <v>2369</v>
      </c>
      <c r="E327" s="11" t="s">
        <v>1859</v>
      </c>
      <c r="F327" s="12"/>
      <c r="G327" s="12"/>
      <c r="H327" s="4" t="str">
        <f>CONCATENATE("img",Table3[[#This Row],[name]],"_ofs = $",Table3[[#This Row],[ofs]])</f>
        <v>imgPencil_Copy_ofs = $002E</v>
      </c>
    </row>
    <row r="328" spans="1:8" x14ac:dyDescent="0.25">
      <c r="A328" s="11" t="s">
        <v>1105</v>
      </c>
      <c r="B328" s="5">
        <f t="shared" si="5"/>
        <v>24</v>
      </c>
      <c r="C328" s="10" t="str">
        <f>DEC2HEX(Table3[[#This Row],[num]]*2,4)</f>
        <v>0030</v>
      </c>
      <c r="D328" s="11" t="s">
        <v>2370</v>
      </c>
      <c r="E328" s="11" t="s">
        <v>1860</v>
      </c>
      <c r="F328" s="12"/>
      <c r="G328" s="12"/>
      <c r="H328" s="4" t="str">
        <f>CONCATENATE("img",Table3[[#This Row],[name]],"_ofs = $",Table3[[#This Row],[ofs]])</f>
        <v>imgCandy_Copy_ofs = $0030</v>
      </c>
    </row>
    <row r="329" spans="1:8" x14ac:dyDescent="0.25">
      <c r="A329" s="11" t="s">
        <v>1105</v>
      </c>
      <c r="B329" s="5">
        <f t="shared" si="5"/>
        <v>25</v>
      </c>
      <c r="C329" s="10" t="str">
        <f>DEC2HEX(Table3[[#This Row],[num]]*2,4)</f>
        <v>0032</v>
      </c>
      <c r="D329" s="11" t="s">
        <v>2371</v>
      </c>
      <c r="E329" s="11" t="s">
        <v>1861</v>
      </c>
      <c r="F329" s="12"/>
      <c r="G329" s="12"/>
      <c r="H329" s="4" t="str">
        <f>CONCATENATE("img",Table3[[#This Row],[name]],"_ofs = $",Table3[[#This Row],[ofs]])</f>
        <v>imgHeart_Copy_ofs = $0032</v>
      </c>
    </row>
    <row r="330" spans="1:8" x14ac:dyDescent="0.25">
      <c r="A330" s="11" t="s">
        <v>1105</v>
      </c>
      <c r="B330" s="5">
        <f t="shared" si="5"/>
        <v>26</v>
      </c>
      <c r="C330" s="10" t="str">
        <f>DEC2HEX(Table3[[#This Row],[num]]*2,4)</f>
        <v>0034</v>
      </c>
      <c r="D330" s="11" t="s">
        <v>2372</v>
      </c>
      <c r="E330" s="11" t="s">
        <v>1862</v>
      </c>
      <c r="F330" s="12"/>
      <c r="G330" s="12"/>
      <c r="H330" s="4" t="str">
        <f>CONCATENATE("img",Table3[[#This Row],[name]],"_ofs = $",Table3[[#This Row],[ofs]])</f>
        <v>imgJrDoll_Copy_ofs = $0034</v>
      </c>
    </row>
    <row r="331" spans="1:8" x14ac:dyDescent="0.25">
      <c r="A331" s="11" t="s">
        <v>1105</v>
      </c>
      <c r="B331" s="5">
        <f t="shared" si="5"/>
        <v>27</v>
      </c>
      <c r="C331" s="10" t="str">
        <f>DEC2HEX(Table3[[#This Row],[num]]*2,4)</f>
        <v>0036</v>
      </c>
      <c r="D331" s="11" t="s">
        <v>2373</v>
      </c>
      <c r="E331" s="11" t="s">
        <v>1863</v>
      </c>
      <c r="F331" s="12"/>
      <c r="G331" s="12"/>
      <c r="H331" s="4" t="str">
        <f>CONCATENATE("img",Table3[[#This Row],[name]],"_ofs = $",Table3[[#This Row],[ofs]])</f>
        <v>img1UP_Copy_ofs = $0036</v>
      </c>
    </row>
    <row r="332" spans="1:8" x14ac:dyDescent="0.25">
      <c r="A332" s="11" t="s">
        <v>1105</v>
      </c>
      <c r="B332" s="5">
        <f t="shared" si="5"/>
        <v>28</v>
      </c>
      <c r="C332" s="10" t="str">
        <f>DEC2HEX(Table3[[#This Row],[num]]*2,4)</f>
        <v>0038</v>
      </c>
      <c r="D332" s="11" t="s">
        <v>2374</v>
      </c>
      <c r="E332" s="11" t="s">
        <v>1864</v>
      </c>
      <c r="F332" s="12"/>
      <c r="G332" s="12"/>
      <c r="H332" s="4" t="str">
        <f>CONCATENATE("img",Table3[[#This Row],[name]],"_ofs = $",Table3[[#This Row],[ofs]])</f>
        <v>imgSpinyChestnut_Copy_ofs = $0038</v>
      </c>
    </row>
    <row r="333" spans="1:8" x14ac:dyDescent="0.25">
      <c r="A333" s="11" t="s">
        <v>1105</v>
      </c>
      <c r="B333" s="5">
        <f t="shared" si="5"/>
        <v>29</v>
      </c>
      <c r="C333" s="10" t="str">
        <f>DEC2HEX(Table3[[#This Row],[num]]*2,4)</f>
        <v>003A</v>
      </c>
      <c r="D333" s="11" t="s">
        <v>2375</v>
      </c>
      <c r="E333" s="11" t="s">
        <v>1865</v>
      </c>
      <c r="F333" s="12"/>
      <c r="G333" s="12"/>
      <c r="H333" s="4" t="str">
        <f>CONCATENATE("img",Table3[[#This Row],[name]],"_ofs = $",Table3[[#This Row],[ofs]])</f>
        <v>imgSecretDoor_Copy_ofs = $003A</v>
      </c>
    </row>
    <row r="334" spans="1:8" x14ac:dyDescent="0.25">
      <c r="A334" s="11" t="s">
        <v>1105</v>
      </c>
      <c r="B334" s="5">
        <f t="shared" si="5"/>
        <v>30</v>
      </c>
      <c r="C334" s="10" t="str">
        <f>DEC2HEX(Table3[[#This Row],[num]]*2,4)</f>
        <v>003C</v>
      </c>
      <c r="D334" s="11" t="s">
        <v>2376</v>
      </c>
      <c r="E334" s="11" t="s">
        <v>1866</v>
      </c>
      <c r="F334" s="12"/>
      <c r="G334" s="12"/>
      <c r="H334" s="4" t="str">
        <f>CONCATENATE("img",Table3[[#This Row],[name]],"_ofs = $",Table3[[#This Row],[ofs]])</f>
        <v>imgCrystal_Copy_ofs = $003C</v>
      </c>
    </row>
    <row r="335" spans="1:8" x14ac:dyDescent="0.25">
      <c r="A335" s="11" t="s">
        <v>1105</v>
      </c>
      <c r="B335" s="5">
        <f t="shared" si="5"/>
        <v>31</v>
      </c>
      <c r="C335" s="10" t="str">
        <f>DEC2HEX(Table3[[#This Row],[num]]*2,4)</f>
        <v>003E</v>
      </c>
      <c r="D335" s="11" t="s">
        <v>2377</v>
      </c>
      <c r="E335" s="11" t="s">
        <v>1867</v>
      </c>
      <c r="F335" s="12"/>
      <c r="G335" s="12"/>
      <c r="H335" s="4" t="str">
        <f>CONCATENATE("img",Table3[[#This Row],[name]],"_ofs = $",Table3[[#This Row],[ofs]])</f>
        <v>imgStarRod_Copy_ofs = $003E</v>
      </c>
    </row>
    <row r="336" spans="1:8" x14ac:dyDescent="0.25">
      <c r="A336" s="11" t="s">
        <v>1105</v>
      </c>
      <c r="B336" s="5">
        <f t="shared" si="5"/>
        <v>32</v>
      </c>
      <c r="C336" s="10" t="str">
        <f>DEC2HEX(Table3[[#This Row],[num]]*2,4)</f>
        <v>0040</v>
      </c>
      <c r="D336" s="11" t="s">
        <v>2378</v>
      </c>
      <c r="E336" s="11" t="s">
        <v>1868</v>
      </c>
      <c r="F336" s="12"/>
      <c r="G336" s="12"/>
      <c r="H336" s="4" t="str">
        <f>CONCATENATE("img",Table3[[#This Row],[name]],"_ofs = $",Table3[[#This Row],[ofs]])</f>
        <v>imgClock_Copy_ofs = $0040</v>
      </c>
    </row>
    <row r="337" spans="1:8" x14ac:dyDescent="0.25">
      <c r="A337" s="11" t="s">
        <v>1105</v>
      </c>
      <c r="B337" s="5">
        <f t="shared" si="5"/>
        <v>33</v>
      </c>
      <c r="C337" s="10" t="str">
        <f>DEC2HEX(Table3[[#This Row],[num]]*2,4)</f>
        <v>0042</v>
      </c>
      <c r="D337" s="11" t="s">
        <v>2379</v>
      </c>
      <c r="E337" s="11" t="s">
        <v>1869</v>
      </c>
      <c r="F337" s="12"/>
      <c r="G337" s="12"/>
      <c r="H337" s="4" t="str">
        <f>CONCATENATE("img",Table3[[#This Row],[name]],"_ofs = $",Table3[[#This Row],[ofs]])</f>
        <v>imgStaff_Copy_ofs = $0042</v>
      </c>
    </row>
    <row r="338" spans="1:8" x14ac:dyDescent="0.25">
      <c r="A338" s="11" t="s">
        <v>1105</v>
      </c>
      <c r="B338" s="5">
        <f t="shared" si="5"/>
        <v>34</v>
      </c>
      <c r="C338" s="10" t="str">
        <f>DEC2HEX(Table3[[#This Row],[num]]*2,4)</f>
        <v>0044</v>
      </c>
      <c r="D338" s="11" t="s">
        <v>2380</v>
      </c>
      <c r="E338" s="11" t="s">
        <v>1870</v>
      </c>
      <c r="F338" s="12"/>
      <c r="G338" s="12"/>
      <c r="H338" s="4" t="str">
        <f>CONCATENATE("img",Table3[[#This Row],[name]],"_ofs = $",Table3[[#This Row],[ofs]])</f>
        <v>imgTree_Copy_ofs = $0044</v>
      </c>
    </row>
    <row r="339" spans="1:8" x14ac:dyDescent="0.25">
      <c r="A339" s="11" t="s">
        <v>1105</v>
      </c>
      <c r="B339" s="5">
        <f t="shared" si="5"/>
        <v>35</v>
      </c>
      <c r="C339" s="10" t="str">
        <f>DEC2HEX(Table3[[#This Row],[num]]*2,4)</f>
        <v>0046</v>
      </c>
      <c r="D339" s="11" t="s">
        <v>2381</v>
      </c>
      <c r="E339" s="11" t="s">
        <v>1871</v>
      </c>
      <c r="F339" s="12"/>
      <c r="G339" s="12"/>
      <c r="H339" s="4" t="str">
        <f>CONCATENATE("img",Table3[[#This Row],[name]],"_ofs = $",Table3[[#This Row],[ofs]])</f>
        <v>imgParasol_Copy_ofs = $0046</v>
      </c>
    </row>
    <row r="340" spans="1:8" x14ac:dyDescent="0.25">
      <c r="A340" s="11" t="s">
        <v>1105</v>
      </c>
      <c r="B340" s="5">
        <f t="shared" si="5"/>
        <v>36</v>
      </c>
      <c r="C340" s="10" t="str">
        <f>DEC2HEX(Table3[[#This Row],[num]]*2,4)</f>
        <v>0048</v>
      </c>
      <c r="D340" s="11" t="s">
        <v>2382</v>
      </c>
      <c r="E340" s="11" t="s">
        <v>1872</v>
      </c>
      <c r="F340" s="12"/>
      <c r="G340" s="12"/>
      <c r="H340" s="4" t="str">
        <f>CONCATENATE("img",Table3[[#This Row],[name]],"_ofs = $",Table3[[#This Row],[ofs]])</f>
        <v>imgUNK0A_0048_ofs = $0048</v>
      </c>
    </row>
    <row r="341" spans="1:8" x14ac:dyDescent="0.25">
      <c r="A341" s="11" t="s">
        <v>1105</v>
      </c>
      <c r="B341" s="5">
        <f t="shared" si="5"/>
        <v>37</v>
      </c>
      <c r="C341" s="10" t="str">
        <f>DEC2HEX(Table3[[#This Row],[num]]*2,4)</f>
        <v>004A</v>
      </c>
      <c r="D341" s="11" t="s">
        <v>2383</v>
      </c>
      <c r="E341" s="11" t="s">
        <v>1873</v>
      </c>
      <c r="F341" s="12"/>
      <c r="G341" s="12"/>
      <c r="H341" s="4" t="str">
        <f>CONCATENATE("img",Table3[[#This Row],[name]],"_ofs = $",Table3[[#This Row],[ofs]])</f>
        <v>imgTractorMissile_Copy_ofs = $004A</v>
      </c>
    </row>
    <row r="342" spans="1:8" x14ac:dyDescent="0.25">
      <c r="A342" s="11" t="s">
        <v>1105</v>
      </c>
      <c r="B342" s="5">
        <f t="shared" si="5"/>
        <v>38</v>
      </c>
      <c r="C342" s="10" t="str">
        <f>DEC2HEX(Table3[[#This Row],[num]]*2,4)</f>
        <v>004C</v>
      </c>
      <c r="D342" s="11" t="s">
        <v>2384</v>
      </c>
      <c r="E342" s="11" t="s">
        <v>1874</v>
      </c>
      <c r="F342" s="12"/>
      <c r="G342" s="12"/>
      <c r="H342" s="4" t="str">
        <f>CONCATENATE("img",Table3[[#This Row],[name]],"_ofs = $",Table3[[#This Row],[ofs]])</f>
        <v>imgUNK0A_004C_ofs = $004C</v>
      </c>
    </row>
    <row r="343" spans="1:8" x14ac:dyDescent="0.25">
      <c r="A343" s="11" t="s">
        <v>1105</v>
      </c>
      <c r="B343" s="5">
        <f t="shared" si="5"/>
        <v>39</v>
      </c>
      <c r="C343" s="10" t="str">
        <f>DEC2HEX(Table3[[#This Row],[num]]*2,4)</f>
        <v>004E</v>
      </c>
      <c r="D343" s="11" t="s">
        <v>2346</v>
      </c>
      <c r="E343" s="11" t="s">
        <v>1875</v>
      </c>
      <c r="F343" s="12"/>
      <c r="G343" s="12" t="s">
        <v>900</v>
      </c>
      <c r="H343" s="4" t="str">
        <f>CONCATENATE("img",Table3[[#This Row],[name]],"_ofs = $",Table3[[#This Row],[ofs]])</f>
        <v>imgUNK122_0_Copy_ofs = $004E</v>
      </c>
    </row>
    <row r="344" spans="1:8" x14ac:dyDescent="0.25">
      <c r="A344" s="11" t="s">
        <v>1105</v>
      </c>
      <c r="B344" s="5">
        <f t="shared" si="5"/>
        <v>40</v>
      </c>
      <c r="C344" s="10" t="str">
        <f>DEC2HEX(Table3[[#This Row],[num]]*2,4)</f>
        <v>0050</v>
      </c>
      <c r="D344" s="11" t="s">
        <v>2385</v>
      </c>
      <c r="E344" s="11" t="s">
        <v>1876</v>
      </c>
      <c r="F344" s="12"/>
      <c r="G344" s="12"/>
      <c r="H344" s="4" t="str">
        <f>CONCATENATE("img",Table3[[#This Row],[name]],"_ofs = $",Table3[[#This Row],[ofs]])</f>
        <v>imgRuckusLAlt_0_ofs = $0050</v>
      </c>
    </row>
    <row r="345" spans="1:8" x14ac:dyDescent="0.25">
      <c r="A345" s="11" t="s">
        <v>1105</v>
      </c>
      <c r="B345" s="5">
        <f t="shared" si="5"/>
        <v>41</v>
      </c>
      <c r="C345" s="10" t="str">
        <f>DEC2HEX(Table3[[#This Row],[num]]*2,4)</f>
        <v>0052</v>
      </c>
      <c r="D345" s="11" t="s">
        <v>2386</v>
      </c>
      <c r="E345" s="11" t="s">
        <v>1877</v>
      </c>
      <c r="F345" s="12"/>
      <c r="G345" s="12"/>
      <c r="H345" s="4" t="str">
        <f>CONCATENATE("img",Table3[[#This Row],[name]],"_ofs = $",Table3[[#This Row],[ofs]])</f>
        <v>imgRuckusLAlt_1_ofs = $0052</v>
      </c>
    </row>
    <row r="346" spans="1:8" x14ac:dyDescent="0.25">
      <c r="A346" s="11" t="s">
        <v>1105</v>
      </c>
      <c r="B346" s="5">
        <f t="shared" si="5"/>
        <v>42</v>
      </c>
      <c r="C346" s="10" t="str">
        <f>DEC2HEX(Table3[[#This Row],[num]]*2,4)</f>
        <v>0054</v>
      </c>
      <c r="D346" s="11" t="s">
        <v>2387</v>
      </c>
      <c r="E346" s="11" t="s">
        <v>1878</v>
      </c>
      <c r="F346" s="12"/>
      <c r="G346" s="12"/>
      <c r="H346" s="4" t="str">
        <f>CONCATENATE("img",Table3[[#This Row],[name]],"_ofs = $",Table3[[#This Row],[ofs]])</f>
        <v>imgRuckusL_0_ofs = $0054</v>
      </c>
    </row>
    <row r="347" spans="1:8" x14ac:dyDescent="0.25">
      <c r="A347" s="11" t="s">
        <v>1105</v>
      </c>
      <c r="B347" s="5">
        <f t="shared" si="5"/>
        <v>43</v>
      </c>
      <c r="C347" s="10" t="str">
        <f>DEC2HEX(Table3[[#This Row],[num]]*2,4)</f>
        <v>0056</v>
      </c>
      <c r="D347" s="11" t="s">
        <v>2388</v>
      </c>
      <c r="E347" s="11" t="s">
        <v>1879</v>
      </c>
      <c r="F347" s="12"/>
      <c r="G347" s="12"/>
      <c r="H347" s="4" t="str">
        <f>CONCATENATE("img",Table3[[#This Row],[name]],"_ofs = $",Table3[[#This Row],[ofs]])</f>
        <v>imgRuckusL_1_ofs = $0056</v>
      </c>
    </row>
    <row r="348" spans="1:8" x14ac:dyDescent="0.25">
      <c r="A348" s="11" t="s">
        <v>1105</v>
      </c>
      <c r="B348" s="5">
        <f t="shared" si="5"/>
        <v>44</v>
      </c>
      <c r="C348" s="10" t="str">
        <f>DEC2HEX(Table3[[#This Row],[num]]*2,4)</f>
        <v>0058</v>
      </c>
      <c r="D348" s="11" t="s">
        <v>2389</v>
      </c>
      <c r="E348" s="11" t="s">
        <v>1880</v>
      </c>
      <c r="F348" s="12"/>
      <c r="G348" s="12"/>
      <c r="H348" s="4" t="str">
        <f>CONCATENATE("img",Table3[[#This Row],[name]],"_ofs = $",Table3[[#This Row],[ofs]])</f>
        <v>imgRuckusRAlt_0_ofs = $0058</v>
      </c>
    </row>
    <row r="349" spans="1:8" x14ac:dyDescent="0.25">
      <c r="A349" s="11" t="s">
        <v>1105</v>
      </c>
      <c r="B349" s="5">
        <f t="shared" si="5"/>
        <v>45</v>
      </c>
      <c r="C349" s="10" t="str">
        <f>DEC2HEX(Table3[[#This Row],[num]]*2,4)</f>
        <v>005A</v>
      </c>
      <c r="D349" s="11" t="s">
        <v>2390</v>
      </c>
      <c r="E349" s="11" t="s">
        <v>1881</v>
      </c>
      <c r="F349" s="12"/>
      <c r="G349" s="12"/>
      <c r="H349" s="4" t="str">
        <f>CONCATENATE("img",Table3[[#This Row],[name]],"_ofs = $",Table3[[#This Row],[ofs]])</f>
        <v>imgRuckusRAlt_1_ofs = $005A</v>
      </c>
    </row>
    <row r="350" spans="1:8" x14ac:dyDescent="0.25">
      <c r="A350" s="11" t="s">
        <v>1105</v>
      </c>
      <c r="B350" s="5">
        <f t="shared" si="5"/>
        <v>46</v>
      </c>
      <c r="C350" s="10" t="str">
        <f>DEC2HEX(Table3[[#This Row],[num]]*2,4)</f>
        <v>005C</v>
      </c>
      <c r="D350" s="11" t="s">
        <v>2391</v>
      </c>
      <c r="E350" s="11" t="s">
        <v>1882</v>
      </c>
      <c r="F350" s="12"/>
      <c r="G350" s="12"/>
      <c r="H350" s="4" t="str">
        <f>CONCATENATE("img",Table3[[#This Row],[name]],"_ofs = $",Table3[[#This Row],[ofs]])</f>
        <v>imgRuckusR_0_ofs = $005C</v>
      </c>
    </row>
    <row r="351" spans="1:8" x14ac:dyDescent="0.25">
      <c r="A351" s="11" t="s">
        <v>1105</v>
      </c>
      <c r="B351" s="5">
        <f t="shared" si="5"/>
        <v>47</v>
      </c>
      <c r="C351" s="10" t="str">
        <f>DEC2HEX(Table3[[#This Row],[num]]*2,4)</f>
        <v>005E</v>
      </c>
      <c r="D351" s="11" t="s">
        <v>2392</v>
      </c>
      <c r="E351" s="11" t="s">
        <v>1883</v>
      </c>
      <c r="F351" s="12"/>
      <c r="G351" s="12"/>
      <c r="H351" s="4" t="str">
        <f>CONCATENATE("img",Table3[[#This Row],[name]],"_ofs = $",Table3[[#This Row],[ofs]])</f>
        <v>imgRuckusR_1_ofs = $005E</v>
      </c>
    </row>
    <row r="352" spans="1:8" x14ac:dyDescent="0.25">
      <c r="A352" s="11" t="s">
        <v>1105</v>
      </c>
      <c r="B352" s="5">
        <f t="shared" si="5"/>
        <v>48</v>
      </c>
      <c r="C352" s="10" t="str">
        <f>DEC2HEX(Table3[[#This Row],[num]]*2,4)</f>
        <v>0060</v>
      </c>
      <c r="D352" s="11" t="s">
        <v>2393</v>
      </c>
      <c r="E352" s="11" t="s">
        <v>953</v>
      </c>
      <c r="F352" s="12"/>
      <c r="G352" s="12"/>
      <c r="H352" s="4" t="str">
        <f>CONCATENATE("img",Table3[[#This Row],[name]],"_ofs = $",Table3[[#This Row],[ofs]])</f>
        <v>imgRuckusBomb_ofs = $0060</v>
      </c>
    </row>
    <row r="353" spans="1:8" x14ac:dyDescent="0.25">
      <c r="A353" s="11" t="s">
        <v>1105</v>
      </c>
      <c r="B353" s="5">
        <f t="shared" si="5"/>
        <v>49</v>
      </c>
      <c r="C353" s="10" t="str">
        <f>DEC2HEX(Table3[[#This Row],[num]]*2,4)</f>
        <v>0062</v>
      </c>
      <c r="D353" s="11" t="s">
        <v>2394</v>
      </c>
      <c r="E353" s="11" t="s">
        <v>1884</v>
      </c>
      <c r="F353" s="12"/>
      <c r="G353" s="12"/>
      <c r="H353" s="4" t="str">
        <f>CONCATENATE("img",Table3[[#This Row],[name]],"_ofs = $",Table3[[#This Row],[ofs]])</f>
        <v>imgUNK0A_0062_ofs = $0062</v>
      </c>
    </row>
    <row r="354" spans="1:8" x14ac:dyDescent="0.25">
      <c r="A354" s="11" t="s">
        <v>1105</v>
      </c>
      <c r="B354" s="5">
        <f t="shared" si="5"/>
        <v>50</v>
      </c>
      <c r="C354" s="10" t="str">
        <f>DEC2HEX(Table3[[#This Row],[num]]*2,4)</f>
        <v>0064</v>
      </c>
      <c r="D354" s="11" t="s">
        <v>2395</v>
      </c>
      <c r="E354" s="11" t="s">
        <v>1885</v>
      </c>
      <c r="F354" s="12"/>
      <c r="G354" s="12"/>
      <c r="H354" s="4" t="str">
        <f>CONCATENATE("img",Table3[[#This Row],[name]],"_ofs = $",Table3[[#This Row],[ofs]])</f>
        <v>imgUNK0A_0064_ofs = $0064</v>
      </c>
    </row>
    <row r="355" spans="1:8" x14ac:dyDescent="0.25">
      <c r="A355" s="11" t="s">
        <v>1105</v>
      </c>
      <c r="B355" s="5">
        <f t="shared" si="5"/>
        <v>51</v>
      </c>
      <c r="C355" s="10" t="str">
        <f>DEC2HEX(Table3[[#This Row],[num]]*2,4)</f>
        <v>0066</v>
      </c>
      <c r="D355" s="11" t="s">
        <v>2396</v>
      </c>
      <c r="E355" s="11" t="s">
        <v>1886</v>
      </c>
      <c r="F355" s="12"/>
      <c r="G355" s="12"/>
      <c r="H355" s="4" t="str">
        <f>CONCATENATE("img",Table3[[#This Row],[name]],"_ofs = $",Table3[[#This Row],[ofs]])</f>
        <v>imgUNK0A_0066_ofs = $0066</v>
      </c>
    </row>
    <row r="356" spans="1:8" x14ac:dyDescent="0.25">
      <c r="A356" s="11" t="s">
        <v>1105</v>
      </c>
      <c r="B356" s="5">
        <f t="shared" si="5"/>
        <v>52</v>
      </c>
      <c r="C356" s="10" t="str">
        <f>DEC2HEX(Table3[[#This Row],[num]]*2,4)</f>
        <v>0068</v>
      </c>
      <c r="D356" s="11" t="s">
        <v>2397</v>
      </c>
      <c r="E356" s="11" t="s">
        <v>1887</v>
      </c>
      <c r="F356" s="12"/>
      <c r="G356" s="12"/>
      <c r="H356" s="4" t="str">
        <f>CONCATENATE("img",Table3[[#This Row],[name]],"_ofs = $",Table3[[#This Row],[ofs]])</f>
        <v>imgRuckusDie_0_ofs = $0068</v>
      </c>
    </row>
    <row r="357" spans="1:8" x14ac:dyDescent="0.25">
      <c r="A357" s="11" t="s">
        <v>1105</v>
      </c>
      <c r="B357" s="5">
        <f t="shared" si="5"/>
        <v>53</v>
      </c>
      <c r="C357" s="10" t="str">
        <f>DEC2HEX(Table3[[#This Row],[num]]*2,4)</f>
        <v>006A</v>
      </c>
      <c r="D357" s="11" t="s">
        <v>2398</v>
      </c>
      <c r="E357" s="11" t="s">
        <v>1888</v>
      </c>
      <c r="F357" s="12"/>
      <c r="G357" s="12"/>
      <c r="H357" s="4" t="str">
        <f>CONCATENATE("img",Table3[[#This Row],[name]],"_ofs = $",Table3[[#This Row],[ofs]])</f>
        <v>imgRuckusDie_1_ofs = $006A</v>
      </c>
    </row>
    <row r="358" spans="1:8" x14ac:dyDescent="0.25">
      <c r="A358" s="11" t="s">
        <v>1105</v>
      </c>
      <c r="B358" s="5">
        <f t="shared" si="5"/>
        <v>54</v>
      </c>
      <c r="C358" s="10" t="str">
        <f>DEC2HEX(Table3[[#This Row],[num]]*2,4)</f>
        <v>006C</v>
      </c>
      <c r="D358" s="11" t="s">
        <v>2399</v>
      </c>
      <c r="E358" s="11" t="s">
        <v>1889</v>
      </c>
      <c r="F358" s="12"/>
      <c r="G358" s="12"/>
      <c r="H358" s="4" t="str">
        <f>CONCATENATE("img",Table3[[#This Row],[name]],"_ofs = $",Table3[[#This Row],[ofs]])</f>
        <v>imgRuckusDie_2_ofs = $006C</v>
      </c>
    </row>
    <row r="359" spans="1:8" x14ac:dyDescent="0.25">
      <c r="A359" s="11" t="s">
        <v>1105</v>
      </c>
      <c r="B359" s="5">
        <f t="shared" si="5"/>
        <v>55</v>
      </c>
      <c r="C359" s="10" t="str">
        <f>DEC2HEX(Table3[[#This Row],[num]]*2,4)</f>
        <v>006E</v>
      </c>
      <c r="D359" s="11" t="s">
        <v>2400</v>
      </c>
      <c r="E359" s="11" t="s">
        <v>1890</v>
      </c>
      <c r="F359" s="12"/>
      <c r="G359" s="12"/>
      <c r="H359" s="4" t="str">
        <f>CONCATENATE("img",Table3[[#This Row],[name]],"_ofs = $",Table3[[#This Row],[ofs]])</f>
        <v>imgRuckusDie_3_ofs = $006E</v>
      </c>
    </row>
    <row r="360" spans="1:8" x14ac:dyDescent="0.25">
      <c r="A360" s="11" t="s">
        <v>1105</v>
      </c>
      <c r="B360" s="5">
        <f t="shared" si="5"/>
        <v>56</v>
      </c>
      <c r="C360" s="10" t="str">
        <f>DEC2HEX(Table3[[#This Row],[num]]*2,4)</f>
        <v>0070</v>
      </c>
      <c r="D360" s="11" t="s">
        <v>2401</v>
      </c>
      <c r="E360" s="11" t="s">
        <v>1891</v>
      </c>
      <c r="F360" s="12"/>
      <c r="G360" s="12"/>
      <c r="H360" s="4" t="str">
        <f>CONCATENATE("img",Table3[[#This Row],[name]],"_ofs = $",Table3[[#This Row],[ofs]])</f>
        <v>imgRuckusDie_4_ofs = $0070</v>
      </c>
    </row>
    <row r="361" spans="1:8" x14ac:dyDescent="0.25">
      <c r="A361" s="11" t="s">
        <v>1105</v>
      </c>
      <c r="B361" s="5">
        <f t="shared" si="5"/>
        <v>57</v>
      </c>
      <c r="C361" s="10" t="str">
        <f>DEC2HEX(Table3[[#This Row],[num]]*2,4)</f>
        <v>0072</v>
      </c>
      <c r="D361" s="11" t="s">
        <v>2402</v>
      </c>
      <c r="E361" s="11" t="s">
        <v>1892</v>
      </c>
      <c r="F361" s="12"/>
      <c r="G361" s="12"/>
      <c r="H361" s="4" t="str">
        <f>CONCATENATE("img",Table3[[#This Row],[name]],"_ofs = $",Table3[[#This Row],[ofs]])</f>
        <v>imgRuckusDie_5_ofs = $0072</v>
      </c>
    </row>
    <row r="362" spans="1:8" x14ac:dyDescent="0.25">
      <c r="A362" s="11" t="s">
        <v>1105</v>
      </c>
      <c r="B362" s="5">
        <f t="shared" si="5"/>
        <v>58</v>
      </c>
      <c r="C362" s="10" t="str">
        <f>DEC2HEX(Table3[[#This Row],[num]]*2,4)</f>
        <v>0074</v>
      </c>
      <c r="D362" s="11" t="s">
        <v>2403</v>
      </c>
      <c r="E362" s="11" t="s">
        <v>1893</v>
      </c>
      <c r="F362" s="12"/>
      <c r="G362" s="12"/>
      <c r="H362" s="4" t="str">
        <f>CONCATENATE("img",Table3[[#This Row],[name]],"_ofs = $",Table3[[#This Row],[ofs]])</f>
        <v>imgRuckusDie_6_ofs = $0074</v>
      </c>
    </row>
    <row r="363" spans="1:8" x14ac:dyDescent="0.25">
      <c r="A363" s="11" t="s">
        <v>1105</v>
      </c>
      <c r="B363" s="5">
        <f t="shared" si="5"/>
        <v>59</v>
      </c>
      <c r="C363" s="10" t="str">
        <f>DEC2HEX(Table3[[#This Row],[num]]*2,4)</f>
        <v>0076</v>
      </c>
      <c r="D363" s="11" t="s">
        <v>2404</v>
      </c>
      <c r="E363" s="11" t="s">
        <v>1894</v>
      </c>
      <c r="F363" s="12"/>
      <c r="G363" s="12"/>
      <c r="H363" s="4" t="str">
        <f>CONCATENATE("img",Table3[[#This Row],[name]],"_ofs = $",Table3[[#This Row],[ofs]])</f>
        <v>imgRuckusDie_7_ofs = $0076</v>
      </c>
    </row>
    <row r="364" spans="1:8" x14ac:dyDescent="0.25">
      <c r="A364" s="11" t="s">
        <v>1105</v>
      </c>
      <c r="B364" s="5">
        <f t="shared" si="5"/>
        <v>60</v>
      </c>
      <c r="C364" s="10" t="str">
        <f>DEC2HEX(Table3[[#This Row],[num]]*2,4)</f>
        <v>0078</v>
      </c>
      <c r="D364" s="11" t="s">
        <v>2405</v>
      </c>
      <c r="E364" s="11" t="s">
        <v>1895</v>
      </c>
      <c r="F364" s="12"/>
      <c r="G364" s="12"/>
      <c r="H364" s="4" t="str">
        <f>CONCATENATE("img",Table3[[#This Row],[name]],"_ofs = $",Table3[[#This Row],[ofs]])</f>
        <v>imgUNK0A_0078_ofs = $0078</v>
      </c>
    </row>
    <row r="365" spans="1:8" x14ac:dyDescent="0.25">
      <c r="A365" s="11" t="s">
        <v>1105</v>
      </c>
      <c r="B365" s="5">
        <f t="shared" si="5"/>
        <v>61</v>
      </c>
      <c r="C365" s="10" t="str">
        <f>DEC2HEX(Table3[[#This Row],[num]]*2,4)</f>
        <v>007A</v>
      </c>
      <c r="D365" s="11" t="s">
        <v>2406</v>
      </c>
      <c r="E365" s="11" t="s">
        <v>1896</v>
      </c>
      <c r="F365" s="12"/>
      <c r="G365" s="12"/>
      <c r="H365" s="4" t="str">
        <f>CONCATENATE("img",Table3[[#This Row],[name]],"_ofs = $",Table3[[#This Row],[ofs]])</f>
        <v>imgUNK0A_007A_ofs = $007A</v>
      </c>
    </row>
    <row r="366" spans="1:8" x14ac:dyDescent="0.25">
      <c r="A366" s="11" t="s">
        <v>1105</v>
      </c>
      <c r="B366" s="5">
        <f t="shared" si="5"/>
        <v>62</v>
      </c>
      <c r="C366" s="10" t="str">
        <f>DEC2HEX(Table3[[#This Row],[num]]*2,4)</f>
        <v>007C</v>
      </c>
      <c r="D366" s="11" t="s">
        <v>2407</v>
      </c>
      <c r="E366" s="11" t="s">
        <v>1897</v>
      </c>
      <c r="F366" s="12"/>
      <c r="G366" s="12"/>
      <c r="H366" s="4" t="str">
        <f>CONCATENATE("img",Table3[[#This Row],[name]],"_ofs = $",Table3[[#This Row],[ofs]])</f>
        <v>imgUNK0A_007C_ofs = $007C</v>
      </c>
    </row>
    <row r="367" spans="1:8" x14ac:dyDescent="0.25">
      <c r="A367" s="11" t="s">
        <v>1105</v>
      </c>
      <c r="B367" s="5">
        <f t="shared" si="5"/>
        <v>63</v>
      </c>
      <c r="C367" s="10" t="str">
        <f>DEC2HEX(Table3[[#This Row],[num]]*2,4)</f>
        <v>007E</v>
      </c>
      <c r="D367" s="11" t="s">
        <v>2408</v>
      </c>
      <c r="E367" s="11" t="s">
        <v>1898</v>
      </c>
      <c r="F367" s="12"/>
      <c r="G367" s="12"/>
      <c r="H367" s="4" t="str">
        <f>CONCATENATE("img",Table3[[#This Row],[name]],"_ofs = $",Table3[[#This Row],[ofs]])</f>
        <v>imgUNK0A_007E_ofs = $007E</v>
      </c>
    </row>
    <row r="368" spans="1:8" x14ac:dyDescent="0.25">
      <c r="A368" s="11" t="s">
        <v>1105</v>
      </c>
      <c r="B368" s="5">
        <f t="shared" si="5"/>
        <v>64</v>
      </c>
      <c r="C368" s="10" t="str">
        <f>DEC2HEX(Table3[[#This Row],[num]]*2,4)</f>
        <v>0080</v>
      </c>
      <c r="D368" s="11" t="s">
        <v>2409</v>
      </c>
      <c r="E368" s="11" t="s">
        <v>1899</v>
      </c>
      <c r="F368" s="12"/>
      <c r="G368" s="12"/>
      <c r="H368" s="4" t="str">
        <f>CONCATENATE("img",Table3[[#This Row],[name]],"_ofs = $",Table3[[#This Row],[ofs]])</f>
        <v>imgUNK0A_0080_ofs = $0080</v>
      </c>
    </row>
    <row r="369" spans="1:8" x14ac:dyDescent="0.25">
      <c r="A369" s="11" t="s">
        <v>1105</v>
      </c>
      <c r="B369" s="5">
        <f t="shared" si="5"/>
        <v>65</v>
      </c>
      <c r="C369" s="10" t="str">
        <f>DEC2HEX(Table3[[#This Row],[num]]*2,4)</f>
        <v>0082</v>
      </c>
      <c r="D369" s="11" t="s">
        <v>2410</v>
      </c>
      <c r="E369" s="11" t="s">
        <v>925</v>
      </c>
      <c r="F369" s="12"/>
      <c r="G369" s="12"/>
      <c r="H369" s="4" t="str">
        <f>CONCATENATE("img",Table3[[#This Row],[name]],"_ofs = $",Table3[[#This Row],[ofs]])</f>
        <v>imgSkullR_ofs = $0082</v>
      </c>
    </row>
    <row r="370" spans="1:8" x14ac:dyDescent="0.25">
      <c r="A370" s="11" t="s">
        <v>1105</v>
      </c>
      <c r="B370" s="5">
        <f t="shared" ref="B370:B433" si="6">ROW()-2-302</f>
        <v>66</v>
      </c>
      <c r="C370" s="10" t="str">
        <f>DEC2HEX(Table3[[#This Row],[num]]*2,4)</f>
        <v>0084</v>
      </c>
      <c r="D370" s="11" t="s">
        <v>2411</v>
      </c>
      <c r="E370" s="11" t="s">
        <v>1900</v>
      </c>
      <c r="F370" s="12"/>
      <c r="G370" s="12"/>
      <c r="H370" s="4" t="str">
        <f>CONCATENATE("img",Table3[[#This Row],[name]],"_ofs = $",Table3[[#This Row],[ofs]])</f>
        <v>imgBurningSkullR_0_ofs = $0084</v>
      </c>
    </row>
    <row r="371" spans="1:8" x14ac:dyDescent="0.25">
      <c r="A371" s="11" t="s">
        <v>1105</v>
      </c>
      <c r="B371" s="5">
        <f t="shared" si="6"/>
        <v>67</v>
      </c>
      <c r="C371" s="10" t="str">
        <f>DEC2HEX(Table3[[#This Row],[num]]*2,4)</f>
        <v>0086</v>
      </c>
      <c r="D371" s="11" t="s">
        <v>2412</v>
      </c>
      <c r="E371" s="11" t="s">
        <v>1901</v>
      </c>
      <c r="F371" s="12"/>
      <c r="G371" s="12"/>
      <c r="H371" s="4" t="str">
        <f>CONCATENATE("img",Table3[[#This Row],[name]],"_ofs = $",Table3[[#This Row],[ofs]])</f>
        <v>imgBurningSkullR_1_ofs = $0086</v>
      </c>
    </row>
    <row r="372" spans="1:8" x14ac:dyDescent="0.25">
      <c r="A372" s="11" t="s">
        <v>1105</v>
      </c>
      <c r="B372" s="5">
        <f t="shared" si="6"/>
        <v>68</v>
      </c>
      <c r="C372" s="10" t="str">
        <f>DEC2HEX(Table3[[#This Row],[num]]*2,4)</f>
        <v>0088</v>
      </c>
      <c r="D372" s="11" t="s">
        <v>2413</v>
      </c>
      <c r="E372" s="11" t="s">
        <v>1902</v>
      </c>
      <c r="F372" s="12"/>
      <c r="G372" s="12"/>
      <c r="H372" s="4" t="str">
        <f>CONCATENATE("img",Table3[[#This Row],[name]],"_ofs = $",Table3[[#This Row],[ofs]])</f>
        <v>imgMadMonkey_0_ofs = $0088</v>
      </c>
    </row>
    <row r="373" spans="1:8" x14ac:dyDescent="0.25">
      <c r="A373" s="11" t="s">
        <v>1105</v>
      </c>
      <c r="B373" s="5">
        <f t="shared" si="6"/>
        <v>69</v>
      </c>
      <c r="C373" s="10" t="str">
        <f>DEC2HEX(Table3[[#This Row],[num]]*2,4)</f>
        <v>008A</v>
      </c>
      <c r="D373" s="11" t="s">
        <v>2414</v>
      </c>
      <c r="E373" s="11" t="s">
        <v>930</v>
      </c>
      <c r="F373" s="12"/>
      <c r="G373" s="12"/>
      <c r="H373" s="4" t="str">
        <f>CONCATENATE("img",Table3[[#This Row],[name]],"_ofs = $",Table3[[#This Row],[ofs]])</f>
        <v>imgMadMonkeyStartJump_ofs = $008A</v>
      </c>
    </row>
    <row r="374" spans="1:8" x14ac:dyDescent="0.25">
      <c r="A374" s="11" t="s">
        <v>1105</v>
      </c>
      <c r="B374" s="5">
        <f t="shared" si="6"/>
        <v>70</v>
      </c>
      <c r="C374" s="10" t="str">
        <f>DEC2HEX(Table3[[#This Row],[num]]*2,4)</f>
        <v>008C</v>
      </c>
      <c r="D374" s="11" t="s">
        <v>2415</v>
      </c>
      <c r="E374" s="11" t="s">
        <v>931</v>
      </c>
      <c r="F374" s="12"/>
      <c r="G374" s="12"/>
      <c r="H374" s="4" t="str">
        <f>CONCATENATE("img",Table3[[#This Row],[name]],"_ofs = $",Table3[[#This Row],[ofs]])</f>
        <v>imgMadMonkeyJump_ofs = $008C</v>
      </c>
    </row>
    <row r="375" spans="1:8" x14ac:dyDescent="0.25">
      <c r="A375" s="11" t="s">
        <v>1105</v>
      </c>
      <c r="B375" s="5">
        <f t="shared" si="6"/>
        <v>71</v>
      </c>
      <c r="C375" s="10" t="str">
        <f>DEC2HEX(Table3[[#This Row],[num]]*2,4)</f>
        <v>008E</v>
      </c>
      <c r="D375" s="11" t="s">
        <v>2416</v>
      </c>
      <c r="E375" s="11" t="s">
        <v>1903</v>
      </c>
      <c r="F375" s="12"/>
      <c r="G375" s="12"/>
      <c r="H375" s="4" t="str">
        <f>CONCATENATE("img",Table3[[#This Row],[name]],"_ofs = $",Table3[[#This Row],[ofs]])</f>
        <v>imgMadMonkey_1_ofs = $008E</v>
      </c>
    </row>
    <row r="376" spans="1:8" x14ac:dyDescent="0.25">
      <c r="A376" s="11" t="s">
        <v>1105</v>
      </c>
      <c r="B376" s="5">
        <f t="shared" si="6"/>
        <v>72</v>
      </c>
      <c r="C376" s="10" t="str">
        <f>DEC2HEX(Table3[[#This Row],[num]]*2,4)</f>
        <v>0090</v>
      </c>
      <c r="D376" s="11" t="s">
        <v>2417</v>
      </c>
      <c r="E376" s="11" t="s">
        <v>1904</v>
      </c>
      <c r="F376" s="12"/>
      <c r="G376" s="12"/>
      <c r="H376" s="4" t="str">
        <f>CONCATENATE("img",Table3[[#This Row],[name]],"_ofs = $",Table3[[#This Row],[ofs]])</f>
        <v>imgRounder_0_ofs = $0090</v>
      </c>
    </row>
    <row r="377" spans="1:8" x14ac:dyDescent="0.25">
      <c r="A377" s="11" t="s">
        <v>1105</v>
      </c>
      <c r="B377" s="5">
        <f t="shared" si="6"/>
        <v>73</v>
      </c>
      <c r="C377" s="10" t="str">
        <f>DEC2HEX(Table3[[#This Row],[num]]*2,4)</f>
        <v>0092</v>
      </c>
      <c r="D377" s="11" t="s">
        <v>2418</v>
      </c>
      <c r="E377" s="11" t="s">
        <v>1905</v>
      </c>
      <c r="F377" s="12"/>
      <c r="G377" s="12"/>
      <c r="H377" s="4" t="str">
        <f>CONCATENATE("img",Table3[[#This Row],[name]],"_ofs = $",Table3[[#This Row],[ofs]])</f>
        <v>imgRounder_1_ofs = $0092</v>
      </c>
    </row>
    <row r="378" spans="1:8" x14ac:dyDescent="0.25">
      <c r="A378" s="11" t="s">
        <v>1105</v>
      </c>
      <c r="B378" s="5">
        <f t="shared" si="6"/>
        <v>74</v>
      </c>
      <c r="C378" s="10" t="str">
        <f>DEC2HEX(Table3[[#This Row],[num]]*2,4)</f>
        <v>0094</v>
      </c>
      <c r="D378" s="11" t="s">
        <v>2419</v>
      </c>
      <c r="E378" s="11" t="s">
        <v>1906</v>
      </c>
      <c r="F378" s="12"/>
      <c r="G378" s="12"/>
      <c r="H378" s="4" t="str">
        <f>CONCATENATE("img",Table3[[#This Row],[name]],"_ofs = $",Table3[[#This Row],[ofs]])</f>
        <v>imgRounderFall_0_ofs = $0094</v>
      </c>
    </row>
    <row r="379" spans="1:8" x14ac:dyDescent="0.25">
      <c r="A379" s="11" t="s">
        <v>1105</v>
      </c>
      <c r="B379" s="5">
        <f t="shared" si="6"/>
        <v>75</v>
      </c>
      <c r="C379" s="10" t="str">
        <f>DEC2HEX(Table3[[#This Row],[num]]*2,4)</f>
        <v>0096</v>
      </c>
      <c r="D379" s="11" t="s">
        <v>2420</v>
      </c>
      <c r="E379" s="11" t="s">
        <v>1907</v>
      </c>
      <c r="F379" s="12"/>
      <c r="G379" s="12"/>
      <c r="H379" s="4" t="str">
        <f>CONCATENATE("img",Table3[[#This Row],[name]],"_ofs = $",Table3[[#This Row],[ofs]])</f>
        <v>imgRounderFall_1_ofs = $0096</v>
      </c>
    </row>
    <row r="380" spans="1:8" x14ac:dyDescent="0.25">
      <c r="A380" s="11" t="s">
        <v>1105</v>
      </c>
      <c r="B380" s="5">
        <f t="shared" si="6"/>
        <v>76</v>
      </c>
      <c r="C380" s="10" t="str">
        <f>DEC2HEX(Table3[[#This Row],[num]]*2,4)</f>
        <v>0098</v>
      </c>
      <c r="D380" s="11" t="s">
        <v>2421</v>
      </c>
      <c r="E380" s="11" t="s">
        <v>1908</v>
      </c>
      <c r="F380" s="12"/>
      <c r="G380" s="12"/>
      <c r="H380" s="4" t="str">
        <f>CONCATENATE("img",Table3[[#This Row],[name]],"_ofs = $",Table3[[#This Row],[ofs]])</f>
        <v>imgRounderHang_0_ofs = $0098</v>
      </c>
    </row>
    <row r="381" spans="1:8" x14ac:dyDescent="0.25">
      <c r="A381" s="11" t="s">
        <v>1105</v>
      </c>
      <c r="B381" s="5">
        <f t="shared" si="6"/>
        <v>77</v>
      </c>
      <c r="C381" s="10" t="str">
        <f>DEC2HEX(Table3[[#This Row],[num]]*2,4)</f>
        <v>009A</v>
      </c>
      <c r="D381" s="11" t="s">
        <v>2422</v>
      </c>
      <c r="E381" s="11" t="s">
        <v>1909</v>
      </c>
      <c r="F381" s="12"/>
      <c r="G381" s="12"/>
      <c r="H381" s="4" t="str">
        <f>CONCATENATE("img",Table3[[#This Row],[name]],"_ofs = $",Table3[[#This Row],[ofs]])</f>
        <v>imgRounderHang_1_ofs = $009A</v>
      </c>
    </row>
    <row r="382" spans="1:8" x14ac:dyDescent="0.25">
      <c r="A382" s="11" t="s">
        <v>1105</v>
      </c>
      <c r="B382" s="5">
        <f t="shared" si="6"/>
        <v>78</v>
      </c>
      <c r="C382" s="10" t="str">
        <f>DEC2HEX(Table3[[#This Row],[num]]*2,4)</f>
        <v>009C</v>
      </c>
      <c r="D382" s="11" t="s">
        <v>2423</v>
      </c>
      <c r="E382" s="11" t="s">
        <v>1910</v>
      </c>
      <c r="F382" s="12"/>
      <c r="G382" s="12"/>
      <c r="H382" s="4" t="str">
        <f>CONCATENATE("img",Table3[[#This Row],[name]],"_ofs = $",Table3[[#This Row],[ofs]])</f>
        <v>imgRounderTrappedAlt_0_ofs = $009C</v>
      </c>
    </row>
    <row r="383" spans="1:8" x14ac:dyDescent="0.25">
      <c r="A383" s="11" t="s">
        <v>1105</v>
      </c>
      <c r="B383" s="5">
        <f t="shared" si="6"/>
        <v>79</v>
      </c>
      <c r="C383" s="10" t="str">
        <f>DEC2HEX(Table3[[#This Row],[num]]*2,4)</f>
        <v>009E</v>
      </c>
      <c r="D383" s="11" t="s">
        <v>2424</v>
      </c>
      <c r="E383" s="11" t="s">
        <v>1911</v>
      </c>
      <c r="F383" s="12"/>
      <c r="G383" s="12"/>
      <c r="H383" s="4" t="str">
        <f>CONCATENATE("img",Table3[[#This Row],[name]],"_ofs = $",Table3[[#This Row],[ofs]])</f>
        <v>imgRounderTrappedAlt_1_ofs = $009E</v>
      </c>
    </row>
    <row r="384" spans="1:8" x14ac:dyDescent="0.25">
      <c r="A384" s="11" t="s">
        <v>1105</v>
      </c>
      <c r="B384" s="5">
        <f t="shared" si="6"/>
        <v>80</v>
      </c>
      <c r="C384" s="10" t="str">
        <f>DEC2HEX(Table3[[#This Row],[num]]*2,4)</f>
        <v>00A0</v>
      </c>
      <c r="D384" s="11" t="s">
        <v>2425</v>
      </c>
      <c r="E384" s="11" t="s">
        <v>1912</v>
      </c>
      <c r="F384" s="12"/>
      <c r="G384" s="12"/>
      <c r="H384" s="4" t="str">
        <f>CONCATENATE("img",Table3[[#This Row],[name]],"_ofs = $",Table3[[#This Row],[ofs]])</f>
        <v>imgRounderDie_0_ofs = $00A0</v>
      </c>
    </row>
    <row r="385" spans="1:8" x14ac:dyDescent="0.25">
      <c r="A385" s="11" t="s">
        <v>1105</v>
      </c>
      <c r="B385" s="5">
        <f t="shared" si="6"/>
        <v>81</v>
      </c>
      <c r="C385" s="10" t="str">
        <f>DEC2HEX(Table3[[#This Row],[num]]*2,4)</f>
        <v>00A2</v>
      </c>
      <c r="D385" s="11" t="s">
        <v>2426</v>
      </c>
      <c r="E385" s="11" t="s">
        <v>1913</v>
      </c>
      <c r="F385" s="12"/>
      <c r="G385" s="12"/>
      <c r="H385" s="4" t="str">
        <f>CONCATENATE("img",Table3[[#This Row],[name]],"_ofs = $",Table3[[#This Row],[ofs]])</f>
        <v>imgRounderDie_1_ofs = $00A2</v>
      </c>
    </row>
    <row r="386" spans="1:8" x14ac:dyDescent="0.25">
      <c r="A386" s="11" t="s">
        <v>1105</v>
      </c>
      <c r="B386" s="5">
        <f t="shared" si="6"/>
        <v>82</v>
      </c>
      <c r="C386" s="10" t="str">
        <f>DEC2HEX(Table3[[#This Row],[num]]*2,4)</f>
        <v>00A4</v>
      </c>
      <c r="D386" s="11" t="s">
        <v>2427</v>
      </c>
      <c r="E386" s="11" t="s">
        <v>1914</v>
      </c>
      <c r="F386" s="12"/>
      <c r="G386" s="12"/>
      <c r="H386" s="4" t="str">
        <f>CONCATENATE("img",Table3[[#This Row],[name]],"_ofs = $",Table3[[#This Row],[ofs]])</f>
        <v>imgRounderDie_2_ofs = $00A4</v>
      </c>
    </row>
    <row r="387" spans="1:8" x14ac:dyDescent="0.25">
      <c r="A387" s="11" t="s">
        <v>1105</v>
      </c>
      <c r="B387" s="5">
        <f t="shared" si="6"/>
        <v>83</v>
      </c>
      <c r="C387" s="10" t="str">
        <f>DEC2HEX(Table3[[#This Row],[num]]*2,4)</f>
        <v>00A6</v>
      </c>
      <c r="D387" s="11" t="s">
        <v>2428</v>
      </c>
      <c r="E387" s="11" t="s">
        <v>1915</v>
      </c>
      <c r="F387" s="12"/>
      <c r="G387" s="12"/>
      <c r="H387" s="4" t="str">
        <f>CONCATENATE("img",Table3[[#This Row],[name]],"_ofs = $",Table3[[#This Row],[ofs]])</f>
        <v>imgRounderDie_3_ofs = $00A6</v>
      </c>
    </row>
    <row r="388" spans="1:8" x14ac:dyDescent="0.25">
      <c r="A388" s="11" t="s">
        <v>1105</v>
      </c>
      <c r="B388" s="5">
        <f t="shared" si="6"/>
        <v>84</v>
      </c>
      <c r="C388" s="10" t="str">
        <f>DEC2HEX(Table3[[#This Row],[num]]*2,4)</f>
        <v>00A8</v>
      </c>
      <c r="D388" s="11" t="s">
        <v>2429</v>
      </c>
      <c r="E388" s="11" t="s">
        <v>1916</v>
      </c>
      <c r="F388" s="12"/>
      <c r="G388" s="12"/>
      <c r="H388" s="4" t="str">
        <f>CONCATENATE("img",Table3[[#This Row],[name]],"_ofs = $",Table3[[#This Row],[ofs]])</f>
        <v>imgRoc_0_ofs = $00A8</v>
      </c>
    </row>
    <row r="389" spans="1:8" x14ac:dyDescent="0.25">
      <c r="A389" s="11" t="s">
        <v>1105</v>
      </c>
      <c r="B389" s="5">
        <f t="shared" si="6"/>
        <v>85</v>
      </c>
      <c r="C389" s="10" t="str">
        <f>DEC2HEX(Table3[[#This Row],[num]]*2,4)</f>
        <v>00AA</v>
      </c>
      <c r="D389" s="11" t="s">
        <v>2430</v>
      </c>
      <c r="E389" s="11" t="s">
        <v>1917</v>
      </c>
      <c r="F389" s="12"/>
      <c r="G389" s="12"/>
      <c r="H389" s="4" t="str">
        <f>CONCATENATE("img",Table3[[#This Row],[name]],"_ofs = $",Table3[[#This Row],[ofs]])</f>
        <v>imgRoc_1_ofs = $00AA</v>
      </c>
    </row>
    <row r="390" spans="1:8" x14ac:dyDescent="0.25">
      <c r="A390" s="11" t="s">
        <v>1105</v>
      </c>
      <c r="B390" s="5">
        <f t="shared" si="6"/>
        <v>86</v>
      </c>
      <c r="C390" s="10" t="str">
        <f>DEC2HEX(Table3[[#This Row],[num]]*2,4)</f>
        <v>00AC</v>
      </c>
      <c r="D390" s="11" t="s">
        <v>2431</v>
      </c>
      <c r="E390" s="11" t="s">
        <v>1918</v>
      </c>
      <c r="F390" s="12"/>
      <c r="G390" s="12"/>
      <c r="H390" s="4" t="str">
        <f>CONCATENATE("img",Table3[[#This Row],[name]],"_ofs = $",Table3[[#This Row],[ofs]])</f>
        <v>imgRoc_6_ofs = $00AC</v>
      </c>
    </row>
    <row r="391" spans="1:8" x14ac:dyDescent="0.25">
      <c r="A391" s="11" t="s">
        <v>1105</v>
      </c>
      <c r="B391" s="5">
        <f t="shared" si="6"/>
        <v>87</v>
      </c>
      <c r="C391" s="10" t="str">
        <f>DEC2HEX(Table3[[#This Row],[num]]*2,4)</f>
        <v>00AE</v>
      </c>
      <c r="D391" s="11" t="s">
        <v>2432</v>
      </c>
      <c r="E391" s="11" t="s">
        <v>1919</v>
      </c>
      <c r="F391" s="12"/>
      <c r="G391" s="12"/>
      <c r="H391" s="4" t="str">
        <f>CONCATENATE("img",Table3[[#This Row],[name]],"_ofs = $",Table3[[#This Row],[ofs]])</f>
        <v>imgRoc_7_ofs = $00AE</v>
      </c>
    </row>
    <row r="392" spans="1:8" x14ac:dyDescent="0.25">
      <c r="A392" s="11" t="s">
        <v>1105</v>
      </c>
      <c r="B392" s="5">
        <f t="shared" si="6"/>
        <v>88</v>
      </c>
      <c r="C392" s="10" t="str">
        <f>DEC2HEX(Table3[[#This Row],[num]]*2,4)</f>
        <v>00B0</v>
      </c>
      <c r="D392" s="11" t="s">
        <v>2433</v>
      </c>
      <c r="E392" s="11" t="s">
        <v>1920</v>
      </c>
      <c r="F392" s="12"/>
      <c r="G392" s="12"/>
      <c r="H392" s="4" t="str">
        <f>CONCATENATE("img",Table3[[#This Row],[name]],"_ofs = $",Table3[[#This Row],[ofs]])</f>
        <v>imgRocShoot_0_ofs = $00B0</v>
      </c>
    </row>
    <row r="393" spans="1:8" x14ac:dyDescent="0.25">
      <c r="A393" s="11" t="s">
        <v>1105</v>
      </c>
      <c r="B393" s="5">
        <f t="shared" si="6"/>
        <v>89</v>
      </c>
      <c r="C393" s="10" t="str">
        <f>DEC2HEX(Table3[[#This Row],[num]]*2,4)</f>
        <v>00B2</v>
      </c>
      <c r="D393" s="11" t="s">
        <v>2434</v>
      </c>
      <c r="E393" s="11" t="s">
        <v>1921</v>
      </c>
      <c r="F393" s="12"/>
      <c r="G393" s="12"/>
      <c r="H393" s="4" t="str">
        <f>CONCATENATE("img",Table3[[#This Row],[name]],"_ofs = $",Table3[[#This Row],[ofs]])</f>
        <v>imgPlayerRotateR_2_Copy_ofs = $00B2</v>
      </c>
    </row>
    <row r="394" spans="1:8" x14ac:dyDescent="0.25">
      <c r="A394" s="11" t="s">
        <v>1105</v>
      </c>
      <c r="B394" s="5">
        <f t="shared" si="6"/>
        <v>90</v>
      </c>
      <c r="C394" s="10" t="str">
        <f>DEC2HEX(Table3[[#This Row],[num]]*2,4)</f>
        <v>00B4</v>
      </c>
      <c r="D394" s="11" t="s">
        <v>2435</v>
      </c>
      <c r="E394" s="11" t="s">
        <v>1922</v>
      </c>
      <c r="F394" s="12"/>
      <c r="G394" s="12"/>
      <c r="H394" s="4" t="str">
        <f>CONCATENATE("img",Table3[[#This Row],[name]],"_ofs = $",Table3[[#This Row],[ofs]])</f>
        <v>imgPlayerRotateL_2_Copy_ofs = $00B4</v>
      </c>
    </row>
    <row r="395" spans="1:8" x14ac:dyDescent="0.25">
      <c r="A395" s="11" t="s">
        <v>1105</v>
      </c>
      <c r="B395" s="5">
        <f t="shared" si="6"/>
        <v>91</v>
      </c>
      <c r="C395" s="10" t="str">
        <f>DEC2HEX(Table3[[#This Row],[num]]*2,4)</f>
        <v>00B6</v>
      </c>
      <c r="D395" s="11" t="s">
        <v>2436</v>
      </c>
      <c r="E395" s="11" t="s">
        <v>1923</v>
      </c>
      <c r="F395" s="12"/>
      <c r="G395" s="12"/>
      <c r="H395" s="4" t="str">
        <f>CONCATENATE("img",Table3[[#This Row],[name]],"_ofs = $",Table3[[#This Row],[ofs]])</f>
        <v>imgRocShoot_1_ofs = $00B6</v>
      </c>
    </row>
    <row r="396" spans="1:8" x14ac:dyDescent="0.25">
      <c r="A396" s="11" t="s">
        <v>1105</v>
      </c>
      <c r="B396" s="5">
        <f t="shared" si="6"/>
        <v>92</v>
      </c>
      <c r="C396" s="10" t="str">
        <f>DEC2HEX(Table3[[#This Row],[num]]*2,4)</f>
        <v>00B8</v>
      </c>
      <c r="D396" s="11" t="s">
        <v>2437</v>
      </c>
      <c r="E396" s="11" t="s">
        <v>939</v>
      </c>
      <c r="F396" s="12"/>
      <c r="G396" s="12"/>
      <c r="H396" s="4" t="str">
        <f>CONCATENATE("img",Table3[[#This Row],[name]],"_ofs = $",Table3[[#This Row],[ofs]])</f>
        <v>imgRocBigLightning_ofs = $00B8</v>
      </c>
    </row>
    <row r="397" spans="1:8" x14ac:dyDescent="0.25">
      <c r="A397" s="11" t="s">
        <v>1105</v>
      </c>
      <c r="B397" s="5">
        <f t="shared" si="6"/>
        <v>93</v>
      </c>
      <c r="C397" s="10" t="str">
        <f>DEC2HEX(Table3[[#This Row],[num]]*2,4)</f>
        <v>00BA</v>
      </c>
      <c r="D397" s="11" t="s">
        <v>2438</v>
      </c>
      <c r="E397" s="11" t="s">
        <v>929</v>
      </c>
      <c r="F397" s="12"/>
      <c r="G397" s="12"/>
      <c r="H397" s="4" t="str">
        <f>CONCATENATE("img",Table3[[#This Row],[name]],"_ofs = $",Table3[[#This Row],[ofs]])</f>
        <v>imgSkullL_ofs = $00BA</v>
      </c>
    </row>
    <row r="398" spans="1:8" x14ac:dyDescent="0.25">
      <c r="A398" s="11" t="s">
        <v>1105</v>
      </c>
      <c r="B398" s="5">
        <f t="shared" si="6"/>
        <v>94</v>
      </c>
      <c r="C398" s="10" t="str">
        <f>DEC2HEX(Table3[[#This Row],[num]]*2,4)</f>
        <v>00BC</v>
      </c>
      <c r="D398" s="11" t="s">
        <v>2439</v>
      </c>
      <c r="E398" s="11" t="s">
        <v>1924</v>
      </c>
      <c r="F398" s="12"/>
      <c r="G398" s="12"/>
      <c r="H398" s="4" t="str">
        <f>CONCATENATE("img",Table3[[#This Row],[name]],"_ofs = $",Table3[[#This Row],[ofs]])</f>
        <v>imgBurningSkullL_0_ofs = $00BC</v>
      </c>
    </row>
    <row r="399" spans="1:8" x14ac:dyDescent="0.25">
      <c r="A399" s="11" t="s">
        <v>1105</v>
      </c>
      <c r="B399" s="5">
        <f t="shared" si="6"/>
        <v>95</v>
      </c>
      <c r="C399" s="10" t="str">
        <f>DEC2HEX(Table3[[#This Row],[num]]*2,4)</f>
        <v>00BE</v>
      </c>
      <c r="D399" s="11" t="s">
        <v>2440</v>
      </c>
      <c r="E399" s="11" t="s">
        <v>1925</v>
      </c>
      <c r="F399" s="12"/>
      <c r="G399" s="12"/>
      <c r="H399" s="4" t="str">
        <f>CONCATENATE("img",Table3[[#This Row],[name]],"_ofs = $",Table3[[#This Row],[ofs]])</f>
        <v>imgBurningSkullL_1_ofs = $00BE</v>
      </c>
    </row>
    <row r="400" spans="1:8" x14ac:dyDescent="0.25">
      <c r="A400" s="11" t="s">
        <v>1105</v>
      </c>
      <c r="B400" s="5">
        <f t="shared" si="6"/>
        <v>96</v>
      </c>
      <c r="C400" s="10" t="str">
        <f>DEC2HEX(Table3[[#This Row],[num]]*2,4)</f>
        <v>00C0</v>
      </c>
      <c r="D400" s="11" t="s">
        <v>2441</v>
      </c>
      <c r="E400" s="11" t="s">
        <v>940</v>
      </c>
      <c r="F400" s="12"/>
      <c r="G400" s="12"/>
      <c r="H400" s="4" t="str">
        <f>CONCATENATE("img",Table3[[#This Row],[name]],"_ofs = $",Table3[[#This Row],[ofs]])</f>
        <v>imgSkullReticle_ofs = $00C0</v>
      </c>
    </row>
    <row r="401" spans="1:8" x14ac:dyDescent="0.25">
      <c r="A401" s="11" t="s">
        <v>1105</v>
      </c>
      <c r="B401" s="5">
        <f t="shared" si="6"/>
        <v>97</v>
      </c>
      <c r="C401" s="10" t="str">
        <f>DEC2HEX(Table3[[#This Row],[num]]*2,4)</f>
        <v>00C2</v>
      </c>
      <c r="D401" s="11" t="s">
        <v>2442</v>
      </c>
      <c r="E401" s="11" t="s">
        <v>927</v>
      </c>
      <c r="F401" s="12"/>
      <c r="G401" s="12"/>
      <c r="H401" s="4" t="str">
        <f>CONCATENATE("img",Table3[[#This Row],[name]],"_ofs = $",Table3[[#This Row],[ofs]])</f>
        <v>imgSkullFireL_ofs = $00C2</v>
      </c>
    </row>
    <row r="402" spans="1:8" x14ac:dyDescent="0.25">
      <c r="A402" s="11" t="s">
        <v>1105</v>
      </c>
      <c r="B402" s="5">
        <f t="shared" si="6"/>
        <v>98</v>
      </c>
      <c r="C402" s="10" t="str">
        <f>DEC2HEX(Table3[[#This Row],[num]]*2,4)</f>
        <v>00C4</v>
      </c>
      <c r="D402" s="11" t="s">
        <v>2443</v>
      </c>
      <c r="E402" s="11" t="s">
        <v>941</v>
      </c>
      <c r="F402" s="12"/>
      <c r="G402" s="12"/>
      <c r="H402" s="4" t="str">
        <f>CONCATENATE("img",Table3[[#This Row],[name]],"_ofs = $",Table3[[#This Row],[ofs]])</f>
        <v>imgSkullHeart_ofs = $00C4</v>
      </c>
    </row>
    <row r="403" spans="1:8" x14ac:dyDescent="0.25">
      <c r="A403" s="11" t="s">
        <v>1105</v>
      </c>
      <c r="B403" s="5">
        <f t="shared" si="6"/>
        <v>99</v>
      </c>
      <c r="C403" s="10" t="str">
        <f>DEC2HEX(Table3[[#This Row],[num]]*2,4)</f>
        <v>00C6</v>
      </c>
      <c r="D403" s="11" t="s">
        <v>2444</v>
      </c>
      <c r="E403" s="11" t="s">
        <v>1926</v>
      </c>
      <c r="F403" s="12"/>
      <c r="G403" s="12"/>
      <c r="H403" s="4" t="str">
        <f>CONCATENATE("img",Table3[[#This Row],[name]],"_ofs = $",Table3[[#This Row],[ofs]])</f>
        <v>imgSuperDrunkL_0_ofs = $00C6</v>
      </c>
    </row>
    <row r="404" spans="1:8" x14ac:dyDescent="0.25">
      <c r="A404" s="11" t="s">
        <v>1105</v>
      </c>
      <c r="B404" s="5">
        <f t="shared" si="6"/>
        <v>100</v>
      </c>
      <c r="C404" s="10" t="str">
        <f>DEC2HEX(Table3[[#This Row],[num]]*2,4)</f>
        <v>00C8</v>
      </c>
      <c r="D404" s="11" t="s">
        <v>2445</v>
      </c>
      <c r="E404" s="11" t="s">
        <v>1927</v>
      </c>
      <c r="F404" s="12"/>
      <c r="G404" s="12"/>
      <c r="H404" s="4" t="str">
        <f>CONCATENATE("img",Table3[[#This Row],[name]],"_ofs = $",Table3[[#This Row],[ofs]])</f>
        <v>imgSuperDrunkL_1_ofs = $00C8</v>
      </c>
    </row>
    <row r="405" spans="1:8" x14ac:dyDescent="0.25">
      <c r="A405" s="11" t="s">
        <v>1105</v>
      </c>
      <c r="B405" s="5">
        <f t="shared" si="6"/>
        <v>101</v>
      </c>
      <c r="C405" s="10" t="str">
        <f>DEC2HEX(Table3[[#This Row],[num]]*2,4)</f>
        <v>00CA</v>
      </c>
      <c r="D405" s="11" t="s">
        <v>2446</v>
      </c>
      <c r="E405" s="11" t="s">
        <v>1928</v>
      </c>
      <c r="F405" s="12"/>
      <c r="G405" s="12"/>
      <c r="H405" s="4" t="str">
        <f>CONCATENATE("img",Table3[[#This Row],[name]],"_ofs = $",Table3[[#This Row],[ofs]])</f>
        <v>imgSuperDrunkL_2_ofs = $00CA</v>
      </c>
    </row>
    <row r="406" spans="1:8" x14ac:dyDescent="0.25">
      <c r="A406" s="11" t="s">
        <v>1105</v>
      </c>
      <c r="B406" s="5">
        <f t="shared" si="6"/>
        <v>102</v>
      </c>
      <c r="C406" s="10" t="str">
        <f>DEC2HEX(Table3[[#This Row],[num]]*2,4)</f>
        <v>00CC</v>
      </c>
      <c r="D406" s="11" t="s">
        <v>2447</v>
      </c>
      <c r="E406" s="11" t="s">
        <v>1929</v>
      </c>
      <c r="F406" s="12"/>
      <c r="G406" s="12"/>
      <c r="H406" s="4" t="str">
        <f>CONCATENATE("img",Table3[[#This Row],[name]],"_ofs = $",Table3[[#This Row],[ofs]])</f>
        <v>imgSuperDrunkL_3_ofs = $00CC</v>
      </c>
    </row>
    <row r="407" spans="1:8" x14ac:dyDescent="0.25">
      <c r="A407" s="11" t="s">
        <v>1105</v>
      </c>
      <c r="B407" s="5">
        <f t="shared" si="6"/>
        <v>103</v>
      </c>
      <c r="C407" s="10" t="str">
        <f>DEC2HEX(Table3[[#This Row],[num]]*2,4)</f>
        <v>00CE</v>
      </c>
      <c r="D407" s="11" t="s">
        <v>2448</v>
      </c>
      <c r="E407" s="11" t="s">
        <v>944</v>
      </c>
      <c r="F407" s="12"/>
      <c r="G407" s="12"/>
      <c r="H407" s="4" t="str">
        <f>CONCATENATE("img",Table3[[#This Row],[name]],"_ofs = $",Table3[[#This Row],[ofs]])</f>
        <v>imgSuperDrunkOrb_ofs = $00CE</v>
      </c>
    </row>
    <row r="408" spans="1:8" x14ac:dyDescent="0.25">
      <c r="A408" s="11" t="s">
        <v>1105</v>
      </c>
      <c r="B408" s="5">
        <f t="shared" si="6"/>
        <v>104</v>
      </c>
      <c r="C408" s="10" t="str">
        <f>DEC2HEX(Table3[[#This Row],[num]]*2,4)</f>
        <v>00D0</v>
      </c>
      <c r="D408" s="11" t="s">
        <v>2449</v>
      </c>
      <c r="E408" s="11" t="s">
        <v>945</v>
      </c>
      <c r="F408" s="12"/>
      <c r="G408" s="12"/>
      <c r="H408" s="4" t="str">
        <f>CONCATENATE("img",Table3[[#This Row],[name]],"_ofs = $",Table3[[#This Row],[ofs]])</f>
        <v>imgSuperDrunkDebrisA_ofs = $00D0</v>
      </c>
    </row>
    <row r="409" spans="1:8" x14ac:dyDescent="0.25">
      <c r="A409" s="11" t="s">
        <v>1105</v>
      </c>
      <c r="B409" s="5">
        <f t="shared" si="6"/>
        <v>105</v>
      </c>
      <c r="C409" s="10" t="str">
        <f>DEC2HEX(Table3[[#This Row],[num]]*2,4)</f>
        <v>00D2</v>
      </c>
      <c r="D409" s="11" t="s">
        <v>2450</v>
      </c>
      <c r="E409" s="11" t="s">
        <v>946</v>
      </c>
      <c r="F409" s="12"/>
      <c r="G409" s="12"/>
      <c r="H409" s="4" t="str">
        <f>CONCATENATE("img",Table3[[#This Row],[name]],"_ofs = $",Table3[[#This Row],[ofs]])</f>
        <v>imgSuperDrunkDebrisB_ofs = $00D2</v>
      </c>
    </row>
    <row r="410" spans="1:8" x14ac:dyDescent="0.25">
      <c r="A410" s="11" t="s">
        <v>1105</v>
      </c>
      <c r="B410" s="5">
        <f t="shared" si="6"/>
        <v>106</v>
      </c>
      <c r="C410" s="10" t="str">
        <f>DEC2HEX(Table3[[#This Row],[num]]*2,4)</f>
        <v>00D4</v>
      </c>
      <c r="D410" s="11" t="s">
        <v>2451</v>
      </c>
      <c r="E410" s="11" t="s">
        <v>947</v>
      </c>
      <c r="F410" s="12"/>
      <c r="G410" s="12"/>
      <c r="H410" s="4" t="str">
        <f>CONCATENATE("img",Table3[[#This Row],[name]],"_ofs = $",Table3[[#This Row],[ofs]])</f>
        <v>imgSuperDrunkDebrisC_ofs = $00D4</v>
      </c>
    </row>
    <row r="411" spans="1:8" x14ac:dyDescent="0.25">
      <c r="A411" s="11" t="s">
        <v>1105</v>
      </c>
      <c r="B411" s="5">
        <f t="shared" si="6"/>
        <v>107</v>
      </c>
      <c r="C411" s="10" t="str">
        <f>DEC2HEX(Table3[[#This Row],[num]]*2,4)</f>
        <v>00D6</v>
      </c>
      <c r="D411" s="11" t="s">
        <v>2452</v>
      </c>
      <c r="E411" s="11" t="s">
        <v>1930</v>
      </c>
      <c r="F411" s="12"/>
      <c r="G411" s="12"/>
      <c r="H411" s="4" t="str">
        <f>CONCATENATE("img",Table3[[#This Row],[name]],"_ofs = $",Table3[[#This Row],[ofs]])</f>
        <v>imgSuperDrunkR_0_ofs = $00D6</v>
      </c>
    </row>
    <row r="412" spans="1:8" x14ac:dyDescent="0.25">
      <c r="A412" s="11" t="s">
        <v>1105</v>
      </c>
      <c r="B412" s="5">
        <f t="shared" si="6"/>
        <v>108</v>
      </c>
      <c r="C412" s="10" t="str">
        <f>DEC2HEX(Table3[[#This Row],[num]]*2,4)</f>
        <v>00D8</v>
      </c>
      <c r="D412" s="11" t="s">
        <v>2453</v>
      </c>
      <c r="E412" s="11" t="s">
        <v>1931</v>
      </c>
      <c r="F412" s="12"/>
      <c r="G412" s="12"/>
      <c r="H412" s="4" t="str">
        <f>CONCATENATE("img",Table3[[#This Row],[name]],"_ofs = $",Table3[[#This Row],[ofs]])</f>
        <v>imgSuperDrunkR_1_ofs = $00D8</v>
      </c>
    </row>
    <row r="413" spans="1:8" x14ac:dyDescent="0.25">
      <c r="A413" s="11" t="s">
        <v>1105</v>
      </c>
      <c r="B413" s="5">
        <f t="shared" si="6"/>
        <v>109</v>
      </c>
      <c r="C413" s="10" t="str">
        <f>DEC2HEX(Table3[[#This Row],[num]]*2,4)</f>
        <v>00DA</v>
      </c>
      <c r="D413" s="11" t="s">
        <v>2454</v>
      </c>
      <c r="E413" s="11" t="s">
        <v>1932</v>
      </c>
      <c r="F413" s="12"/>
      <c r="G413" s="12"/>
      <c r="H413" s="4" t="str">
        <f>CONCATENATE("img",Table3[[#This Row],[name]],"_ofs = $",Table3[[#This Row],[ofs]])</f>
        <v>imgSuperDrunkR_2_ofs = $00DA</v>
      </c>
    </row>
    <row r="414" spans="1:8" x14ac:dyDescent="0.25">
      <c r="A414" s="11" t="s">
        <v>1105</v>
      </c>
      <c r="B414" s="5">
        <f t="shared" si="6"/>
        <v>110</v>
      </c>
      <c r="C414" s="10" t="str">
        <f>DEC2HEX(Table3[[#This Row],[num]]*2,4)</f>
        <v>00DC</v>
      </c>
      <c r="D414" s="11" t="s">
        <v>2455</v>
      </c>
      <c r="E414" s="11" t="s">
        <v>1933</v>
      </c>
      <c r="F414" s="12"/>
      <c r="G414" s="12"/>
      <c r="H414" s="4" t="str">
        <f>CONCATENATE("img",Table3[[#This Row],[name]],"_ofs = $",Table3[[#This Row],[ofs]])</f>
        <v>imgSuperDrunkR_3_ofs = $00DC</v>
      </c>
    </row>
    <row r="415" spans="1:8" x14ac:dyDescent="0.25">
      <c r="A415" s="11" t="s">
        <v>1105</v>
      </c>
      <c r="B415" s="5">
        <f t="shared" si="6"/>
        <v>111</v>
      </c>
      <c r="C415" s="10" t="str">
        <f>DEC2HEX(Table3[[#This Row],[num]]*2,4)</f>
        <v>00DE</v>
      </c>
      <c r="D415" s="11" t="s">
        <v>2456</v>
      </c>
      <c r="E415" s="11" t="s">
        <v>1934</v>
      </c>
      <c r="F415" s="12"/>
      <c r="G415" s="12"/>
      <c r="H415" s="4" t="str">
        <f>CONCATENATE("img",Table3[[#This Row],[name]],"_ofs = $",Table3[[#This Row],[ofs]])</f>
        <v>imgFinalSkullL_0_ofs = $00DE</v>
      </c>
    </row>
    <row r="416" spans="1:8" x14ac:dyDescent="0.25">
      <c r="A416" s="11" t="s">
        <v>1105</v>
      </c>
      <c r="B416" s="5">
        <f t="shared" si="6"/>
        <v>112</v>
      </c>
      <c r="C416" s="10" t="str">
        <f>DEC2HEX(Table3[[#This Row],[num]]*2,4)</f>
        <v>00E0</v>
      </c>
      <c r="D416" s="11" t="s">
        <v>2457</v>
      </c>
      <c r="E416" s="11" t="s">
        <v>950</v>
      </c>
      <c r="F416" s="12"/>
      <c r="G416" s="12"/>
      <c r="H416" s="4" t="str">
        <f>CONCATENATE("img",Table3[[#This Row],[name]],"_ofs = $",Table3[[#This Row],[ofs]])</f>
        <v>imgFinalSkullJumpL_ofs = $00E0</v>
      </c>
    </row>
    <row r="417" spans="1:8" x14ac:dyDescent="0.25">
      <c r="A417" s="11" t="s">
        <v>1105</v>
      </c>
      <c r="B417" s="5">
        <f t="shared" si="6"/>
        <v>113</v>
      </c>
      <c r="C417" s="10" t="str">
        <f>DEC2HEX(Table3[[#This Row],[num]]*2,4)</f>
        <v>00E2</v>
      </c>
      <c r="D417" s="11" t="s">
        <v>2458</v>
      </c>
      <c r="E417" s="11" t="s">
        <v>1935</v>
      </c>
      <c r="F417" s="12"/>
      <c r="G417" s="12"/>
      <c r="H417" s="4" t="str">
        <f>CONCATENATE("img",Table3[[#This Row],[name]],"_ofs = $",Table3[[#This Row],[ofs]])</f>
        <v>imgFinalSkullL_1_ofs = $00E2</v>
      </c>
    </row>
    <row r="418" spans="1:8" x14ac:dyDescent="0.25">
      <c r="A418" s="11" t="s">
        <v>1105</v>
      </c>
      <c r="B418" s="5">
        <f t="shared" si="6"/>
        <v>114</v>
      </c>
      <c r="C418" s="10" t="str">
        <f>DEC2HEX(Table3[[#This Row],[num]]*2,4)</f>
        <v>00E4</v>
      </c>
      <c r="D418" s="11" t="s">
        <v>2459</v>
      </c>
      <c r="E418" s="11" t="s">
        <v>1936</v>
      </c>
      <c r="F418" s="12"/>
      <c r="G418" s="12"/>
      <c r="H418" s="4" t="str">
        <f>CONCATENATE("img",Table3[[#This Row],[name]],"_ofs = $",Table3[[#This Row],[ofs]])</f>
        <v>imgFinalSkullDie_0_ofs = $00E4</v>
      </c>
    </row>
    <row r="419" spans="1:8" x14ac:dyDescent="0.25">
      <c r="A419" s="11" t="s">
        <v>1105</v>
      </c>
      <c r="B419" s="5">
        <f t="shared" si="6"/>
        <v>115</v>
      </c>
      <c r="C419" s="10" t="str">
        <f>DEC2HEX(Table3[[#This Row],[num]]*2,4)</f>
        <v>00E6</v>
      </c>
      <c r="D419" s="11" t="s">
        <v>2460</v>
      </c>
      <c r="E419" s="11" t="s">
        <v>1937</v>
      </c>
      <c r="F419" s="12"/>
      <c r="G419" s="12"/>
      <c r="H419" s="4" t="str">
        <f>CONCATENATE("img",Table3[[#This Row],[name]],"_ofs = $",Table3[[#This Row],[ofs]])</f>
        <v>imgFinalSkullR_0_ofs = $00E6</v>
      </c>
    </row>
    <row r="420" spans="1:8" x14ac:dyDescent="0.25">
      <c r="A420" s="11" t="s">
        <v>1105</v>
      </c>
      <c r="B420" s="5">
        <f t="shared" si="6"/>
        <v>116</v>
      </c>
      <c r="C420" s="10" t="str">
        <f>DEC2HEX(Table3[[#This Row],[num]]*2,4)</f>
        <v>00E8</v>
      </c>
      <c r="D420" s="11" t="s">
        <v>2461</v>
      </c>
      <c r="E420" s="11" t="s">
        <v>951</v>
      </c>
      <c r="F420" s="12"/>
      <c r="G420" s="12"/>
      <c r="H420" s="4" t="str">
        <f>CONCATENATE("img",Table3[[#This Row],[name]],"_ofs = $",Table3[[#This Row],[ofs]])</f>
        <v>imgFinalSkullJumpR_ofs = $00E8</v>
      </c>
    </row>
    <row r="421" spans="1:8" x14ac:dyDescent="0.25">
      <c r="A421" s="11" t="s">
        <v>1105</v>
      </c>
      <c r="B421" s="5">
        <f t="shared" si="6"/>
        <v>117</v>
      </c>
      <c r="C421" s="10" t="str">
        <f>DEC2HEX(Table3[[#This Row],[num]]*2,4)</f>
        <v>00EA</v>
      </c>
      <c r="D421" s="11" t="s">
        <v>2462</v>
      </c>
      <c r="E421" s="11" t="s">
        <v>1938</v>
      </c>
      <c r="F421" s="12"/>
      <c r="G421" s="12"/>
      <c r="H421" s="4" t="str">
        <f>CONCATENATE("img",Table3[[#This Row],[name]],"_ofs = $",Table3[[#This Row],[ofs]])</f>
        <v>imgFinalSkullR_1_ofs = $00EA</v>
      </c>
    </row>
    <row r="422" spans="1:8" x14ac:dyDescent="0.25">
      <c r="A422" s="11" t="s">
        <v>1105</v>
      </c>
      <c r="B422" s="5">
        <f t="shared" si="6"/>
        <v>118</v>
      </c>
      <c r="C422" s="10" t="str">
        <f>DEC2HEX(Table3[[#This Row],[num]]*2,4)</f>
        <v>00EC</v>
      </c>
      <c r="D422" s="11" t="s">
        <v>2463</v>
      </c>
      <c r="E422" s="11" t="s">
        <v>1939</v>
      </c>
      <c r="F422" s="12"/>
      <c r="G422" s="12"/>
      <c r="H422" s="4" t="str">
        <f>CONCATENATE("img",Table3[[#This Row],[name]],"_ofs = $",Table3[[#This Row],[ofs]])</f>
        <v>imgFinalSkullDie_1_ofs = $00EC</v>
      </c>
    </row>
    <row r="423" spans="1:8" x14ac:dyDescent="0.25">
      <c r="A423" s="11" t="s">
        <v>1105</v>
      </c>
      <c r="B423" s="5">
        <f t="shared" si="6"/>
        <v>119</v>
      </c>
      <c r="C423" s="10" t="str">
        <f>DEC2HEX(Table3[[#This Row],[num]]*2,4)</f>
        <v>00EE</v>
      </c>
      <c r="D423" s="11" t="s">
        <v>2464</v>
      </c>
      <c r="E423" s="11" t="s">
        <v>1002</v>
      </c>
      <c r="F423" s="12"/>
      <c r="G423" s="12"/>
      <c r="H423" s="4" t="str">
        <f>CONCATENATE("img",Table3[[#This Row],[name]],"_ofs = $",Table3[[#This Row],[ofs]])</f>
        <v>imgRocSmallLightning_ofs = $00EE</v>
      </c>
    </row>
    <row r="424" spans="1:8" x14ac:dyDescent="0.25">
      <c r="A424" s="11" t="s">
        <v>1105</v>
      </c>
      <c r="B424" s="5">
        <f t="shared" si="6"/>
        <v>120</v>
      </c>
      <c r="C424" s="10" t="str">
        <f>DEC2HEX(Table3[[#This Row],[num]]*2,4)</f>
        <v>00F0</v>
      </c>
      <c r="D424" s="11" t="s">
        <v>2465</v>
      </c>
      <c r="E424" s="11" t="s">
        <v>924</v>
      </c>
      <c r="F424" s="12"/>
      <c r="G424" s="12"/>
      <c r="H424" s="4" t="str">
        <f>CONCATENATE("img",Table3[[#This Row],[name]],"_ofs = $",Table3[[#This Row],[ofs]])</f>
        <v>imgSkullFireR_ofs = $00F0</v>
      </c>
    </row>
    <row r="425" spans="1:8" x14ac:dyDescent="0.25">
      <c r="A425" s="11" t="s">
        <v>1105</v>
      </c>
      <c r="B425" s="5">
        <f t="shared" si="6"/>
        <v>121</v>
      </c>
      <c r="C425" s="10" t="str">
        <f>DEC2HEX(Table3[[#This Row],[num]]*2,4)</f>
        <v>00F2</v>
      </c>
      <c r="D425" s="11" t="s">
        <v>2466</v>
      </c>
      <c r="E425" s="11" t="s">
        <v>1940</v>
      </c>
      <c r="F425" s="12"/>
      <c r="G425" s="12"/>
      <c r="H425" s="4" t="str">
        <f>CONCATENATE("img",Table3[[#This Row],[name]],"_ofs = $",Table3[[#This Row],[ofs]])</f>
        <v>imgRocDie_1_ofs = $00F2</v>
      </c>
    </row>
    <row r="426" spans="1:8" x14ac:dyDescent="0.25">
      <c r="A426" s="11" t="s">
        <v>1105</v>
      </c>
      <c r="B426" s="5">
        <f t="shared" si="6"/>
        <v>122</v>
      </c>
      <c r="C426" s="10" t="str">
        <f>DEC2HEX(Table3[[#This Row],[num]]*2,4)</f>
        <v>00F4</v>
      </c>
      <c r="D426" s="11" t="s">
        <v>2467</v>
      </c>
      <c r="E426" s="11" t="s">
        <v>1941</v>
      </c>
      <c r="F426" s="12"/>
      <c r="G426" s="12"/>
      <c r="H426" s="4" t="str">
        <f>CONCATENATE("img",Table3[[#This Row],[name]],"_ofs = $",Table3[[#This Row],[ofs]])</f>
        <v>imgUNK0A_00F4_ofs = $00F4</v>
      </c>
    </row>
    <row r="427" spans="1:8" x14ac:dyDescent="0.25">
      <c r="A427" s="11" t="s">
        <v>1105</v>
      </c>
      <c r="B427" s="5">
        <f t="shared" si="6"/>
        <v>123</v>
      </c>
      <c r="C427" s="10" t="str">
        <f>DEC2HEX(Table3[[#This Row],[num]]*2,4)</f>
        <v>00F6</v>
      </c>
      <c r="D427" s="11" t="s">
        <v>2468</v>
      </c>
      <c r="E427" s="11" t="s">
        <v>1942</v>
      </c>
      <c r="F427" s="12"/>
      <c r="G427" s="12"/>
      <c r="H427" s="4" t="str">
        <f>CONCATENATE("img",Table3[[#This Row],[name]],"_ofs = $",Table3[[#This Row],[ofs]])</f>
        <v>imgUNK0A_00F6_ofs = $00F6</v>
      </c>
    </row>
    <row r="428" spans="1:8" x14ac:dyDescent="0.25">
      <c r="A428" s="11" t="s">
        <v>1105</v>
      </c>
      <c r="B428" s="5">
        <f t="shared" si="6"/>
        <v>124</v>
      </c>
      <c r="C428" s="10" t="str">
        <f>DEC2HEX(Table3[[#This Row],[num]]*2,4)</f>
        <v>00F8</v>
      </c>
      <c r="D428" s="11" t="s">
        <v>2469</v>
      </c>
      <c r="E428" s="11" t="s">
        <v>1943</v>
      </c>
      <c r="F428" s="12"/>
      <c r="G428" s="12"/>
      <c r="H428" s="4" t="str">
        <f>CONCATENATE("img",Table3[[#This Row],[name]],"_ofs = $",Table3[[#This Row],[ofs]])</f>
        <v>imgUNK0A_00F8_ofs = $00F8</v>
      </c>
    </row>
    <row r="429" spans="1:8" x14ac:dyDescent="0.25">
      <c r="A429" s="11" t="s">
        <v>1105</v>
      </c>
      <c r="B429" s="5">
        <f t="shared" si="6"/>
        <v>125</v>
      </c>
      <c r="C429" s="10" t="str">
        <f>DEC2HEX(Table3[[#This Row],[num]]*2,4)</f>
        <v>00FA</v>
      </c>
      <c r="D429" s="11" t="s">
        <v>2470</v>
      </c>
      <c r="E429" s="11" t="s">
        <v>1944</v>
      </c>
      <c r="F429" s="12"/>
      <c r="G429" s="12"/>
      <c r="H429" s="4" t="str">
        <f>CONCATENATE("img",Table3[[#This Row],[name]],"_ofs = $",Table3[[#This Row],[ofs]])</f>
        <v>imgUNK0A_00FA_ofs = $00FA</v>
      </c>
    </row>
    <row r="430" spans="1:8" x14ac:dyDescent="0.25">
      <c r="A430" s="11" t="s">
        <v>1105</v>
      </c>
      <c r="B430" s="5">
        <f t="shared" si="6"/>
        <v>126</v>
      </c>
      <c r="C430" s="10" t="str">
        <f>DEC2HEX(Table3[[#This Row],[num]]*2,4)</f>
        <v>00FC</v>
      </c>
      <c r="D430" s="11" t="s">
        <v>2471</v>
      </c>
      <c r="E430" s="11" t="s">
        <v>1945</v>
      </c>
      <c r="F430" s="12"/>
      <c r="G430" s="12"/>
      <c r="H430" s="4" t="str">
        <f>CONCATENATE("img",Table3[[#This Row],[name]],"_ofs = $",Table3[[#This Row],[ofs]])</f>
        <v>imgStarAlt_Copy_ofs = $00FC</v>
      </c>
    </row>
    <row r="431" spans="1:8" x14ac:dyDescent="0.25">
      <c r="A431" s="11" t="s">
        <v>1105</v>
      </c>
      <c r="B431" s="5">
        <f t="shared" si="6"/>
        <v>127</v>
      </c>
      <c r="C431" s="10" t="str">
        <f>DEC2HEX(Table3[[#This Row],[num]]*2,4)</f>
        <v>00FE</v>
      </c>
      <c r="D431" s="11" t="s">
        <v>2346</v>
      </c>
      <c r="E431" s="11" t="s">
        <v>1946</v>
      </c>
      <c r="F431" s="12"/>
      <c r="G431" s="12" t="s">
        <v>900</v>
      </c>
      <c r="H431" s="4" t="str">
        <f>CONCATENATE("img",Table3[[#This Row],[name]],"_ofs = $",Table3[[#This Row],[ofs]])</f>
        <v>imgUNK122_1_Copy_ofs = $00FE</v>
      </c>
    </row>
    <row r="432" spans="1:8" x14ac:dyDescent="0.25">
      <c r="A432" s="11" t="s">
        <v>1105</v>
      </c>
      <c r="B432" s="5">
        <f t="shared" si="6"/>
        <v>128</v>
      </c>
      <c r="C432" s="10" t="str">
        <f>DEC2HEX(Table3[[#This Row],[num]]*2,4)</f>
        <v>0100</v>
      </c>
      <c r="D432" s="11" t="s">
        <v>2472</v>
      </c>
      <c r="E432" s="11" t="s">
        <v>1947</v>
      </c>
      <c r="F432" s="12"/>
      <c r="G432" s="12"/>
      <c r="H432" s="4" t="str">
        <f>CONCATENATE("img",Table3[[#This Row],[name]],"_ofs = $",Table3[[#This Row],[ofs]])</f>
        <v>imgBubble_1_Copy_ofs = $0100</v>
      </c>
    </row>
    <row r="433" spans="1:8" x14ac:dyDescent="0.25">
      <c r="A433" s="11" t="s">
        <v>1105</v>
      </c>
      <c r="B433" s="5">
        <f t="shared" si="6"/>
        <v>129</v>
      </c>
      <c r="C433" s="10" t="str">
        <f>DEC2HEX(Table3[[#This Row],[num]]*2,4)</f>
        <v>0102</v>
      </c>
      <c r="D433" s="11" t="s">
        <v>2473</v>
      </c>
      <c r="E433" s="11" t="s">
        <v>1948</v>
      </c>
      <c r="F433" s="12"/>
      <c r="G433" s="12"/>
      <c r="H433" s="4" t="str">
        <f>CONCATENATE("img",Table3[[#This Row],[name]],"_ofs = $",Table3[[#This Row],[ofs]])</f>
        <v>imgPlayerRoundStart_0_Copy_ofs = $0102</v>
      </c>
    </row>
    <row r="434" spans="1:8" x14ac:dyDescent="0.25">
      <c r="A434" s="11" t="s">
        <v>1105</v>
      </c>
      <c r="B434" s="5">
        <f t="shared" ref="B434:B497" si="7">ROW()-2-302</f>
        <v>130</v>
      </c>
      <c r="C434" s="10" t="str">
        <f>DEC2HEX(Table3[[#This Row],[num]]*2,4)</f>
        <v>0104</v>
      </c>
      <c r="D434" s="11" t="s">
        <v>2474</v>
      </c>
      <c r="E434" s="11" t="s">
        <v>1949</v>
      </c>
      <c r="F434" s="12"/>
      <c r="G434" s="12"/>
      <c r="H434" s="4" t="str">
        <f>CONCATENATE("img",Table3[[#This Row],[name]],"_ofs = $",Table3[[#This Row],[ofs]])</f>
        <v>imgPlayerRoundStart_1_Copy_ofs = $0104</v>
      </c>
    </row>
    <row r="435" spans="1:8" x14ac:dyDescent="0.25">
      <c r="A435" s="11" t="s">
        <v>1105</v>
      </c>
      <c r="B435" s="5">
        <f t="shared" si="7"/>
        <v>131</v>
      </c>
      <c r="C435" s="10" t="str">
        <f>DEC2HEX(Table3[[#This Row],[num]]*2,4)</f>
        <v>0106</v>
      </c>
      <c r="D435" s="11" t="s">
        <v>2475</v>
      </c>
      <c r="E435" s="11" t="s">
        <v>1950</v>
      </c>
      <c r="F435" s="12"/>
      <c r="G435" s="12"/>
      <c r="H435" s="4" t="str">
        <f>CONCATENATE("img",Table3[[#This Row],[name]],"_ofs = $",Table3[[#This Row],[ofs]])</f>
        <v>imgUNK140_Copy_ofs = $0106</v>
      </c>
    </row>
    <row r="436" spans="1:8" x14ac:dyDescent="0.25">
      <c r="A436" s="11" t="s">
        <v>1105</v>
      </c>
      <c r="B436" s="5">
        <f t="shared" si="7"/>
        <v>132</v>
      </c>
      <c r="C436" s="10" t="str">
        <f>DEC2HEX(Table3[[#This Row],[num]]*2,4)</f>
        <v>0108</v>
      </c>
      <c r="D436" s="11" t="s">
        <v>2476</v>
      </c>
      <c r="E436" s="11" t="s">
        <v>1951</v>
      </c>
      <c r="F436" s="12"/>
      <c r="G436" s="12"/>
      <c r="H436" s="4" t="str">
        <f>CONCATENATE("img",Table3[[#This Row],[name]],"_ofs = $",Table3[[#This Row],[ofs]])</f>
        <v>imgUNK141_Copy_ofs = $0108</v>
      </c>
    </row>
    <row r="437" spans="1:8" x14ac:dyDescent="0.25">
      <c r="A437" s="11" t="s">
        <v>1105</v>
      </c>
      <c r="B437" s="5">
        <f t="shared" si="7"/>
        <v>133</v>
      </c>
      <c r="C437" s="10" t="str">
        <f>DEC2HEX(Table3[[#This Row],[num]]*2,4)</f>
        <v>010A</v>
      </c>
      <c r="D437" s="11" t="s">
        <v>2477</v>
      </c>
      <c r="E437" s="11" t="s">
        <v>1952</v>
      </c>
      <c r="F437" s="12"/>
      <c r="G437" s="12"/>
      <c r="H437" s="4" t="str">
        <f>CONCATENATE("img",Table3[[#This Row],[name]],"_ofs = $",Table3[[#This Row],[ofs]])</f>
        <v>imgFloodHAlt_Copy_ofs = $010A</v>
      </c>
    </row>
    <row r="438" spans="1:8" x14ac:dyDescent="0.25">
      <c r="A438" s="11" t="s">
        <v>1105</v>
      </c>
      <c r="B438" s="5">
        <f t="shared" si="7"/>
        <v>134</v>
      </c>
      <c r="C438" s="10" t="str">
        <f>DEC2HEX(Table3[[#This Row],[num]]*2,4)</f>
        <v>010C</v>
      </c>
      <c r="D438" s="11" t="s">
        <v>2478</v>
      </c>
      <c r="E438" s="11" t="s">
        <v>1953</v>
      </c>
      <c r="F438" s="12"/>
      <c r="G438" s="12"/>
      <c r="H438" s="4" t="str">
        <f>CONCATENATE("img",Table3[[#This Row],[name]],"_ofs = $",Table3[[#This Row],[ofs]])</f>
        <v>imgFloodV_Copy_ofs = $010C</v>
      </c>
    </row>
    <row r="439" spans="1:8" x14ac:dyDescent="0.25">
      <c r="A439" s="11" t="s">
        <v>1105</v>
      </c>
      <c r="B439" s="5">
        <f t="shared" si="7"/>
        <v>135</v>
      </c>
      <c r="C439" s="10" t="str">
        <f>DEC2HEX(Table3[[#This Row],[num]]*2,4)</f>
        <v>010E</v>
      </c>
      <c r="D439" s="11" t="s">
        <v>2479</v>
      </c>
      <c r="E439" s="11" t="s">
        <v>920</v>
      </c>
      <c r="F439" s="12"/>
      <c r="G439" s="12"/>
      <c r="H439" s="4" t="str">
        <f>CONCATENATE("img",Table3[[#This Row],[name]],"_ofs = $",Table3[[#This Row],[ofs]])</f>
        <v>imgRounderReward_ofs = $010E</v>
      </c>
    </row>
    <row r="440" spans="1:8" x14ac:dyDescent="0.25">
      <c r="A440" s="11" t="s">
        <v>1105</v>
      </c>
      <c r="B440" s="5">
        <f t="shared" si="7"/>
        <v>136</v>
      </c>
      <c r="C440" s="10" t="str">
        <f>DEC2HEX(Table3[[#This Row],[num]]*2,4)</f>
        <v>0110</v>
      </c>
      <c r="D440" s="11" t="s">
        <v>2480</v>
      </c>
      <c r="E440" s="11" t="s">
        <v>1954</v>
      </c>
      <c r="F440" s="12"/>
      <c r="G440" s="12"/>
      <c r="H440" s="4" t="str">
        <f>CONCATENATE("img",Table3[[#This Row],[name]],"_ofs = $",Table3[[#This Row],[ofs]])</f>
        <v>imgUNK0A_0110_ofs = $0110</v>
      </c>
    </row>
    <row r="441" spans="1:8" x14ac:dyDescent="0.25">
      <c r="A441" s="11" t="s">
        <v>1105</v>
      </c>
      <c r="B441" s="5">
        <f t="shared" si="7"/>
        <v>137</v>
      </c>
      <c r="C441" s="10" t="str">
        <f>DEC2HEX(Table3[[#This Row],[num]]*2,4)</f>
        <v>0112</v>
      </c>
      <c r="D441" s="11" t="s">
        <v>2481</v>
      </c>
      <c r="E441" s="11" t="s">
        <v>1955</v>
      </c>
      <c r="F441" s="12"/>
      <c r="G441" s="12"/>
      <c r="H441" s="4" t="str">
        <f>CONCATENATE("img",Table3[[#This Row],[name]],"_ofs = $",Table3[[#This Row],[ofs]])</f>
        <v>imgUNK0A_0112_ofs = $0112</v>
      </c>
    </row>
    <row r="442" spans="1:8" x14ac:dyDescent="0.25">
      <c r="A442" s="11" t="s">
        <v>1105</v>
      </c>
      <c r="B442" s="5">
        <f t="shared" si="7"/>
        <v>138</v>
      </c>
      <c r="C442" s="10" t="str">
        <f>DEC2HEX(Table3[[#This Row],[num]]*2,4)</f>
        <v>0114</v>
      </c>
      <c r="D442" s="11" t="s">
        <v>2346</v>
      </c>
      <c r="E442" s="11" t="s">
        <v>1956</v>
      </c>
      <c r="F442" s="12"/>
      <c r="G442" s="12" t="s">
        <v>900</v>
      </c>
      <c r="H442" s="4" t="str">
        <f>CONCATENATE("img",Table3[[#This Row],[name]],"_ofs = $",Table3[[#This Row],[ofs]])</f>
        <v>imgUNK0A_0114_ofs = $0114</v>
      </c>
    </row>
    <row r="443" spans="1:8" x14ac:dyDescent="0.25">
      <c r="A443" s="11" t="s">
        <v>1105</v>
      </c>
      <c r="B443" s="5">
        <f t="shared" si="7"/>
        <v>139</v>
      </c>
      <c r="C443" s="10" t="str">
        <f>DEC2HEX(Table3[[#This Row],[num]]*2,4)</f>
        <v>0116</v>
      </c>
      <c r="D443" s="11" t="s">
        <v>2346</v>
      </c>
      <c r="E443" s="11" t="s">
        <v>1957</v>
      </c>
      <c r="F443" s="12"/>
      <c r="G443" s="12" t="s">
        <v>900</v>
      </c>
      <c r="H443" s="4" t="str">
        <f>CONCATENATE("img",Table3[[#This Row],[name]],"_ofs = $",Table3[[#This Row],[ofs]])</f>
        <v>imgUNK0A_0116_ofs = $0116</v>
      </c>
    </row>
    <row r="444" spans="1:8" x14ac:dyDescent="0.25">
      <c r="A444" s="11" t="s">
        <v>1105</v>
      </c>
      <c r="B444" s="5">
        <f t="shared" si="7"/>
        <v>140</v>
      </c>
      <c r="C444" s="10" t="str">
        <f>DEC2HEX(Table3[[#This Row],[num]]*2,4)</f>
        <v>0118</v>
      </c>
      <c r="D444" s="11" t="s">
        <v>2482</v>
      </c>
      <c r="E444" s="11" t="s">
        <v>1958</v>
      </c>
      <c r="F444" s="12"/>
      <c r="G444" s="12"/>
      <c r="H444" s="4" t="str">
        <f>CONCATENATE("img",Table3[[#This Row],[name]],"_ofs = $",Table3[[#This Row],[ofs]])</f>
        <v>imgPlayerGameOver_0_Copy_ofs = $0118</v>
      </c>
    </row>
    <row r="445" spans="1:8" x14ac:dyDescent="0.25">
      <c r="A445" s="11" t="s">
        <v>1105</v>
      </c>
      <c r="B445" s="5">
        <f t="shared" si="7"/>
        <v>141</v>
      </c>
      <c r="C445" s="10" t="str">
        <f>DEC2HEX(Table3[[#This Row],[num]]*2,4)</f>
        <v>011A</v>
      </c>
      <c r="D445" s="11" t="s">
        <v>2483</v>
      </c>
      <c r="E445" s="11" t="s">
        <v>1959</v>
      </c>
      <c r="F445" s="12"/>
      <c r="G445" s="12"/>
      <c r="H445" s="4" t="str">
        <f>CONCATENATE("img",Table3[[#This Row],[name]],"_ofs = $",Table3[[#This Row],[ofs]])</f>
        <v>imgPlayerGameOver_1_Copy_ofs = $011A</v>
      </c>
    </row>
    <row r="446" spans="1:8" x14ac:dyDescent="0.25">
      <c r="A446" s="11" t="s">
        <v>1105</v>
      </c>
      <c r="B446" s="5">
        <f t="shared" si="7"/>
        <v>142</v>
      </c>
      <c r="C446" s="10" t="str">
        <f>DEC2HEX(Table3[[#This Row],[num]]*2,4)</f>
        <v>011C</v>
      </c>
      <c r="D446" s="11" t="s">
        <v>2484</v>
      </c>
      <c r="E446" s="11" t="s">
        <v>1960</v>
      </c>
      <c r="F446" s="12"/>
      <c r="G446" s="12"/>
      <c r="H446" s="4" t="str">
        <f>CONCATENATE("img",Table3[[#This Row],[name]],"_ofs = $",Table3[[#This Row],[ofs]])</f>
        <v>imgPlayerContinue_Copy_ofs = $011C</v>
      </c>
    </row>
    <row r="447" spans="1:8" x14ac:dyDescent="0.25">
      <c r="A447" s="11" t="s">
        <v>1105</v>
      </c>
      <c r="B447" s="5">
        <f t="shared" si="7"/>
        <v>143</v>
      </c>
      <c r="C447" s="10" t="str">
        <f>DEC2HEX(Table3[[#This Row],[num]]*2,4)</f>
        <v>011E</v>
      </c>
      <c r="D447" s="11" t="s">
        <v>2485</v>
      </c>
      <c r="E447" s="11" t="s">
        <v>1961</v>
      </c>
      <c r="F447" s="12"/>
      <c r="G447" s="12"/>
      <c r="H447" s="4" t="str">
        <f>CONCATENATE("img",Table3[[#This Row],[name]],"_ofs = $",Table3[[#This Row],[ofs]])</f>
        <v>imgSnowFall_2_Copy_ofs = $011E</v>
      </c>
    </row>
    <row r="448" spans="1:8" x14ac:dyDescent="0.25">
      <c r="A448" s="11" t="s">
        <v>1105</v>
      </c>
      <c r="B448" s="5">
        <f t="shared" si="7"/>
        <v>144</v>
      </c>
      <c r="C448" s="10" t="str">
        <f>DEC2HEX(Table3[[#This Row],[num]]*2,4)</f>
        <v>0120</v>
      </c>
      <c r="D448" s="11" t="s">
        <v>2486</v>
      </c>
      <c r="E448" s="11" t="s">
        <v>1962</v>
      </c>
      <c r="F448" s="12"/>
      <c r="G448" s="12"/>
      <c r="H448" s="4" t="str">
        <f>CONCATENATE("img",Table3[[#This Row],[name]],"_ofs = $",Table3[[#This Row],[ofs]])</f>
        <v>imgSnowFall_3_Copy_ofs = $0120</v>
      </c>
    </row>
    <row r="449" spans="1:8" x14ac:dyDescent="0.25">
      <c r="A449" s="11" t="s">
        <v>1105</v>
      </c>
      <c r="B449" s="5">
        <f t="shared" si="7"/>
        <v>145</v>
      </c>
      <c r="C449" s="10" t="str">
        <f>DEC2HEX(Table3[[#This Row],[num]]*2,4)</f>
        <v>0122</v>
      </c>
      <c r="D449" s="11" t="s">
        <v>2487</v>
      </c>
      <c r="E449" s="11" t="s">
        <v>1963</v>
      </c>
      <c r="F449" s="12"/>
      <c r="G449" s="12"/>
      <c r="H449" s="4" t="str">
        <f>CONCATENATE("img",Table3[[#This Row],[name]],"_ofs = $",Table3[[#This Row],[ofs]])</f>
        <v>imgSnowFall_0_Copy_ofs = $0122</v>
      </c>
    </row>
    <row r="450" spans="1:8" x14ac:dyDescent="0.25">
      <c r="A450" s="11" t="s">
        <v>1105</v>
      </c>
      <c r="B450" s="5">
        <f t="shared" si="7"/>
        <v>146</v>
      </c>
      <c r="C450" s="10" t="str">
        <f>DEC2HEX(Table3[[#This Row],[num]]*2,4)</f>
        <v>0124</v>
      </c>
      <c r="D450" s="11" t="s">
        <v>2488</v>
      </c>
      <c r="E450" s="11" t="s">
        <v>1964</v>
      </c>
      <c r="F450" s="12"/>
      <c r="G450" s="12"/>
      <c r="H450" s="4" t="str">
        <f>CONCATENATE("img",Table3[[#This Row],[name]],"_ofs = $",Table3[[#This Row],[ofs]])</f>
        <v>imgSnowSpread_0_Copy_ofs = $0124</v>
      </c>
    </row>
    <row r="451" spans="1:8" x14ac:dyDescent="0.25">
      <c r="A451" s="11" t="s">
        <v>1105</v>
      </c>
      <c r="B451" s="5">
        <f t="shared" si="7"/>
        <v>147</v>
      </c>
      <c r="C451" s="10" t="str">
        <f>DEC2HEX(Table3[[#This Row],[num]]*2,4)</f>
        <v>0126</v>
      </c>
      <c r="D451" s="11" t="s">
        <v>2489</v>
      </c>
      <c r="E451" s="11" t="s">
        <v>1965</v>
      </c>
      <c r="F451" s="12"/>
      <c r="G451" s="12"/>
      <c r="H451" s="4" t="str">
        <f>CONCATENATE("img",Table3[[#This Row],[name]],"_ofs = $",Table3[[#This Row],[ofs]])</f>
        <v>imgSnowSpread_1_Copy_ofs = $0126</v>
      </c>
    </row>
    <row r="452" spans="1:8" x14ac:dyDescent="0.25">
      <c r="A452" s="11" t="s">
        <v>1105</v>
      </c>
      <c r="B452" s="5">
        <f t="shared" si="7"/>
        <v>148</v>
      </c>
      <c r="C452" s="10" t="str">
        <f>DEC2HEX(Table3[[#This Row],[num]]*2,4)</f>
        <v>0128</v>
      </c>
      <c r="D452" s="11" t="s">
        <v>2490</v>
      </c>
      <c r="E452" s="11" t="s">
        <v>1966</v>
      </c>
      <c r="F452" s="12"/>
      <c r="G452" s="12"/>
      <c r="H452" s="4" t="str">
        <f>CONCATENATE("img",Table3[[#This Row],[name]],"_ofs = $",Table3[[#This Row],[ofs]])</f>
        <v>imgSnowSpread_2_Copy_ofs = $0128</v>
      </c>
    </row>
    <row r="453" spans="1:8" x14ac:dyDescent="0.25">
      <c r="A453" s="11" t="s">
        <v>1105</v>
      </c>
      <c r="B453" s="5">
        <f t="shared" si="7"/>
        <v>149</v>
      </c>
      <c r="C453" s="10" t="str">
        <f>DEC2HEX(Table3[[#This Row],[num]]*2,4)</f>
        <v>012A</v>
      </c>
      <c r="D453" s="11" t="s">
        <v>2491</v>
      </c>
      <c r="E453" s="11" t="s">
        <v>1967</v>
      </c>
      <c r="F453" s="12"/>
      <c r="G453" s="12"/>
      <c r="H453" s="4" t="str">
        <f>CONCATENATE("img",Table3[[#This Row],[name]],"_ofs = $",Table3[[#This Row],[ofs]])</f>
        <v>imgSnowFall_1_Copy_ofs = $012A</v>
      </c>
    </row>
    <row r="454" spans="1:8" x14ac:dyDescent="0.25">
      <c r="A454" s="11" t="s">
        <v>1105</v>
      </c>
      <c r="B454" s="5">
        <f t="shared" si="7"/>
        <v>150</v>
      </c>
      <c r="C454" s="10" t="str">
        <f>DEC2HEX(Table3[[#This Row],[num]]*2,4)</f>
        <v>012C</v>
      </c>
      <c r="D454" s="11" t="s">
        <v>2492</v>
      </c>
      <c r="E454" s="11" t="s">
        <v>1968</v>
      </c>
      <c r="F454" s="12"/>
      <c r="G454" s="12"/>
      <c r="H454" s="4" t="str">
        <f>CONCATENATE("img",Table3[[#This Row],[name]],"_ofs = $",Table3[[#This Row],[ofs]])</f>
        <v>imgPlayerSmallWalkL_0_ofs = $012C</v>
      </c>
    </row>
    <row r="455" spans="1:8" x14ac:dyDescent="0.25">
      <c r="A455" s="11" t="s">
        <v>1105</v>
      </c>
      <c r="B455" s="5">
        <f t="shared" si="7"/>
        <v>151</v>
      </c>
      <c r="C455" s="10" t="str">
        <f>DEC2HEX(Table3[[#This Row],[num]]*2,4)</f>
        <v>012E</v>
      </c>
      <c r="D455" s="11" t="s">
        <v>2493</v>
      </c>
      <c r="E455" s="11" t="s">
        <v>1969</v>
      </c>
      <c r="F455" s="12"/>
      <c r="G455" s="12"/>
      <c r="H455" s="4" t="str">
        <f>CONCATENATE("img",Table3[[#This Row],[name]],"_ofs = $",Table3[[#This Row],[ofs]])</f>
        <v>imgPlayerSmallWalkR_0_ofs = $012E</v>
      </c>
    </row>
    <row r="456" spans="1:8" x14ac:dyDescent="0.25">
      <c r="A456" s="11" t="s">
        <v>1105</v>
      </c>
      <c r="B456" s="5">
        <f t="shared" si="7"/>
        <v>152</v>
      </c>
      <c r="C456" s="10" t="str">
        <f>DEC2HEX(Table3[[#This Row],[num]]*2,4)</f>
        <v>0130</v>
      </c>
      <c r="D456" s="11" t="s">
        <v>2494</v>
      </c>
      <c r="E456" s="11" t="s">
        <v>1970</v>
      </c>
      <c r="F456" s="12"/>
      <c r="G456" s="12"/>
      <c r="H456" s="4" t="str">
        <f>CONCATENATE("img",Table3[[#This Row],[name]],"_ofs = $",Table3[[#This Row],[ofs]])</f>
        <v>imgPlayerSmallWalkL_1_ofs = $0130</v>
      </c>
    </row>
    <row r="457" spans="1:8" x14ac:dyDescent="0.25">
      <c r="A457" s="11" t="s">
        <v>1105</v>
      </c>
      <c r="B457" s="5">
        <f t="shared" si="7"/>
        <v>153</v>
      </c>
      <c r="C457" s="10" t="str">
        <f>DEC2HEX(Table3[[#This Row],[num]]*2,4)</f>
        <v>0132</v>
      </c>
      <c r="D457" s="11" t="s">
        <v>2495</v>
      </c>
      <c r="E457" s="11" t="s">
        <v>1971</v>
      </c>
      <c r="F457" s="12"/>
      <c r="G457" s="12"/>
      <c r="H457" s="4" t="str">
        <f>CONCATENATE("img",Table3[[#This Row],[name]],"_ofs = $",Table3[[#This Row],[ofs]])</f>
        <v>imgPlayerSmallWalkR_1_ofs = $0132</v>
      </c>
    </row>
    <row r="458" spans="1:8" x14ac:dyDescent="0.25">
      <c r="A458" s="11" t="s">
        <v>1105</v>
      </c>
      <c r="B458" s="5">
        <f t="shared" si="7"/>
        <v>154</v>
      </c>
      <c r="C458" s="10" t="str">
        <f>DEC2HEX(Table3[[#This Row],[num]]*2,4)</f>
        <v>0134</v>
      </c>
      <c r="D458" s="11" t="s">
        <v>2496</v>
      </c>
      <c r="E458" s="11" t="s">
        <v>1086</v>
      </c>
      <c r="F458" s="12"/>
      <c r="G458" s="12"/>
      <c r="H458" s="4" t="str">
        <f>CONCATENATE("img",Table3[[#This Row],[name]],"_ofs = $",Table3[[#This Row],[ofs]])</f>
        <v>imgAnnouncePlayer_ofs = $0134</v>
      </c>
    </row>
    <row r="459" spans="1:8" x14ac:dyDescent="0.25">
      <c r="A459" s="11" t="s">
        <v>1105</v>
      </c>
      <c r="B459" s="5">
        <f t="shared" si="7"/>
        <v>155</v>
      </c>
      <c r="C459" s="10" t="str">
        <f>DEC2HEX(Table3[[#This Row],[num]]*2,4)</f>
        <v>0136</v>
      </c>
      <c r="D459" s="11" t="s">
        <v>2346</v>
      </c>
      <c r="E459" s="11" t="s">
        <v>1972</v>
      </c>
      <c r="F459" s="12"/>
      <c r="G459" s="12" t="s">
        <v>900</v>
      </c>
      <c r="H459" s="4" t="str">
        <f>CONCATENATE("img",Table3[[#This Row],[name]],"_ofs = $",Table3[[#This Row],[ofs]])</f>
        <v>imgUNK0A_0136_ofs = $0136</v>
      </c>
    </row>
    <row r="460" spans="1:8" x14ac:dyDescent="0.25">
      <c r="A460" s="11" t="s">
        <v>1105</v>
      </c>
      <c r="B460" s="5">
        <f t="shared" si="7"/>
        <v>156</v>
      </c>
      <c r="C460" s="10" t="str">
        <f>DEC2HEX(Table3[[#This Row],[num]]*2,4)</f>
        <v>0138</v>
      </c>
      <c r="D460" s="11" t="s">
        <v>2346</v>
      </c>
      <c r="E460" s="11" t="s">
        <v>1973</v>
      </c>
      <c r="F460" s="12"/>
      <c r="G460" s="12" t="s">
        <v>900</v>
      </c>
      <c r="H460" s="4" t="str">
        <f>CONCATENATE("img",Table3[[#This Row],[name]],"_ofs = $",Table3[[#This Row],[ofs]])</f>
        <v>imgUNK0A_0138_ofs = $0138</v>
      </c>
    </row>
    <row r="461" spans="1:8" x14ac:dyDescent="0.25">
      <c r="A461" s="11" t="s">
        <v>1105</v>
      </c>
      <c r="B461" s="5">
        <f t="shared" si="7"/>
        <v>157</v>
      </c>
      <c r="C461" s="10" t="str">
        <f>DEC2HEX(Table3[[#This Row],[num]]*2,4)</f>
        <v>013A</v>
      </c>
      <c r="D461" s="11" t="s">
        <v>2346</v>
      </c>
      <c r="E461" s="11" t="s">
        <v>1974</v>
      </c>
      <c r="F461" s="12"/>
      <c r="G461" s="12" t="s">
        <v>900</v>
      </c>
      <c r="H461" s="4" t="str">
        <f>CONCATENATE("img",Table3[[#This Row],[name]],"_ofs = $",Table3[[#This Row],[ofs]])</f>
        <v>imgUNK0A_013A_ofs = $013A</v>
      </c>
    </row>
    <row r="462" spans="1:8" x14ac:dyDescent="0.25">
      <c r="A462" s="11" t="s">
        <v>1105</v>
      </c>
      <c r="B462" s="5">
        <f t="shared" si="7"/>
        <v>158</v>
      </c>
      <c r="C462" s="10" t="str">
        <f>DEC2HEX(Table3[[#This Row],[num]]*2,4)</f>
        <v>013C</v>
      </c>
      <c r="D462" s="11" t="s">
        <v>2346</v>
      </c>
      <c r="E462" s="11" t="s">
        <v>1975</v>
      </c>
      <c r="F462" s="12"/>
      <c r="G462" s="12" t="s">
        <v>900</v>
      </c>
      <c r="H462" s="4" t="str">
        <f>CONCATENATE("img",Table3[[#This Row],[name]],"_ofs = $",Table3[[#This Row],[ofs]])</f>
        <v>imgUNK0A_013C_ofs = $013C</v>
      </c>
    </row>
    <row r="463" spans="1:8" x14ac:dyDescent="0.25">
      <c r="A463" s="11" t="s">
        <v>1105</v>
      </c>
      <c r="B463" s="5">
        <f t="shared" si="7"/>
        <v>159</v>
      </c>
      <c r="C463" s="10" t="str">
        <f>DEC2HEX(Table3[[#This Row],[num]]*2,4)</f>
        <v>013E</v>
      </c>
      <c r="D463" s="11" t="s">
        <v>2346</v>
      </c>
      <c r="E463" s="11" t="s">
        <v>1976</v>
      </c>
      <c r="F463" s="12"/>
      <c r="G463" s="12" t="s">
        <v>900</v>
      </c>
      <c r="H463" s="4" t="str">
        <f>CONCATENATE("img",Table3[[#This Row],[name]],"_ofs = $",Table3[[#This Row],[ofs]])</f>
        <v>imgUNK0A_013E_ofs = $013E</v>
      </c>
    </row>
    <row r="464" spans="1:8" x14ac:dyDescent="0.25">
      <c r="A464" s="11" t="s">
        <v>1105</v>
      </c>
      <c r="B464" s="5">
        <f t="shared" si="7"/>
        <v>160</v>
      </c>
      <c r="C464" s="10" t="str">
        <f>DEC2HEX(Table3[[#This Row],[num]]*2,4)</f>
        <v>0140</v>
      </c>
      <c r="D464" s="11" t="s">
        <v>2346</v>
      </c>
      <c r="E464" s="11" t="s">
        <v>1977</v>
      </c>
      <c r="F464" s="12"/>
      <c r="G464" s="12" t="s">
        <v>900</v>
      </c>
      <c r="H464" s="4" t="str">
        <f>CONCATENATE("img",Table3[[#This Row],[name]],"_ofs = $",Table3[[#This Row],[ofs]])</f>
        <v>imgUNK0A_0140_ofs = $0140</v>
      </c>
    </row>
    <row r="465" spans="1:8" x14ac:dyDescent="0.25">
      <c r="A465" s="11" t="s">
        <v>1105</v>
      </c>
      <c r="B465" s="5">
        <f t="shared" si="7"/>
        <v>161</v>
      </c>
      <c r="C465" s="10" t="str">
        <f>DEC2HEX(Table3[[#This Row],[num]]*2,4)</f>
        <v>0142</v>
      </c>
      <c r="D465" s="11" t="s">
        <v>2346</v>
      </c>
      <c r="E465" s="11" t="s">
        <v>1978</v>
      </c>
      <c r="F465" s="12"/>
      <c r="G465" s="12" t="s">
        <v>900</v>
      </c>
      <c r="H465" s="4" t="str">
        <f>CONCATENATE("img",Table3[[#This Row],[name]],"_ofs = $",Table3[[#This Row],[ofs]])</f>
        <v>imgUNK0A_0142_ofs = $0142</v>
      </c>
    </row>
    <row r="466" spans="1:8" x14ac:dyDescent="0.25">
      <c r="A466" s="11" t="s">
        <v>1105</v>
      </c>
      <c r="B466" s="5">
        <f t="shared" si="7"/>
        <v>162</v>
      </c>
      <c r="C466" s="10" t="str">
        <f>DEC2HEX(Table3[[#This Row],[num]]*2,4)</f>
        <v>0144</v>
      </c>
      <c r="D466" s="11" t="s">
        <v>2346</v>
      </c>
      <c r="E466" s="11" t="s">
        <v>1979</v>
      </c>
      <c r="F466" s="12"/>
      <c r="G466" s="12" t="s">
        <v>900</v>
      </c>
      <c r="H466" s="4" t="str">
        <f>CONCATENATE("img",Table3[[#This Row],[name]],"_ofs = $",Table3[[#This Row],[ofs]])</f>
        <v>imgUNK0A_0144_ofs = $0144</v>
      </c>
    </row>
    <row r="467" spans="1:8" x14ac:dyDescent="0.25">
      <c r="A467" s="11" t="s">
        <v>1105</v>
      </c>
      <c r="B467" s="5">
        <f t="shared" si="7"/>
        <v>163</v>
      </c>
      <c r="C467" s="10" t="str">
        <f>DEC2HEX(Table3[[#This Row],[num]]*2,4)</f>
        <v>0146</v>
      </c>
      <c r="D467" s="11" t="s">
        <v>2346</v>
      </c>
      <c r="E467" s="11" t="s">
        <v>1980</v>
      </c>
      <c r="F467" s="12"/>
      <c r="G467" s="12" t="s">
        <v>900</v>
      </c>
      <c r="H467" s="4" t="str">
        <f>CONCATENATE("img",Table3[[#This Row],[name]],"_ofs = $",Table3[[#This Row],[ofs]])</f>
        <v>imgUNK0A_0146_ofs = $0146</v>
      </c>
    </row>
    <row r="468" spans="1:8" x14ac:dyDescent="0.25">
      <c r="A468" s="11" t="s">
        <v>1105</v>
      </c>
      <c r="B468" s="5">
        <f t="shared" si="7"/>
        <v>164</v>
      </c>
      <c r="C468" s="10" t="str">
        <f>DEC2HEX(Table3[[#This Row],[num]]*2,4)</f>
        <v>0148</v>
      </c>
      <c r="D468" s="11" t="s">
        <v>2346</v>
      </c>
      <c r="E468" s="11" t="s">
        <v>1981</v>
      </c>
      <c r="F468" s="12"/>
      <c r="G468" s="12" t="s">
        <v>900</v>
      </c>
      <c r="H468" s="4" t="str">
        <f>CONCATENATE("img",Table3[[#This Row],[name]],"_ofs = $",Table3[[#This Row],[ofs]])</f>
        <v>imgUNK0A_0148_ofs = $0148</v>
      </c>
    </row>
    <row r="469" spans="1:8" x14ac:dyDescent="0.25">
      <c r="A469" s="11" t="s">
        <v>1105</v>
      </c>
      <c r="B469" s="5">
        <f t="shared" si="7"/>
        <v>165</v>
      </c>
      <c r="C469" s="10" t="str">
        <f>DEC2HEX(Table3[[#This Row],[num]]*2,4)</f>
        <v>014A</v>
      </c>
      <c r="D469" s="11" t="s">
        <v>2346</v>
      </c>
      <c r="E469" s="11" t="s">
        <v>1982</v>
      </c>
      <c r="F469" s="12"/>
      <c r="G469" s="12" t="s">
        <v>900</v>
      </c>
      <c r="H469" s="4" t="str">
        <f>CONCATENATE("img",Table3[[#This Row],[name]],"_ofs = $",Table3[[#This Row],[ofs]])</f>
        <v>imgUNK0A_014A_ofs = $014A</v>
      </c>
    </row>
    <row r="470" spans="1:8" x14ac:dyDescent="0.25">
      <c r="A470" s="11" t="s">
        <v>1105</v>
      </c>
      <c r="B470" s="5">
        <f t="shared" si="7"/>
        <v>166</v>
      </c>
      <c r="C470" s="10" t="str">
        <f>DEC2HEX(Table3[[#This Row],[num]]*2,4)</f>
        <v>014C</v>
      </c>
      <c r="D470" s="11" t="s">
        <v>2346</v>
      </c>
      <c r="E470" s="11" t="s">
        <v>1983</v>
      </c>
      <c r="F470" s="12"/>
      <c r="G470" s="12" t="s">
        <v>900</v>
      </c>
      <c r="H470" s="4" t="str">
        <f>CONCATENATE("img",Table3[[#This Row],[name]],"_ofs = $",Table3[[#This Row],[ofs]])</f>
        <v>imgUNK0A_014C_ofs = $014C</v>
      </c>
    </row>
    <row r="471" spans="1:8" x14ac:dyDescent="0.25">
      <c r="A471" s="11" t="s">
        <v>1105</v>
      </c>
      <c r="B471" s="5">
        <f t="shared" si="7"/>
        <v>167</v>
      </c>
      <c r="C471" s="10" t="str">
        <f>DEC2HEX(Table3[[#This Row],[num]]*2,4)</f>
        <v>014E</v>
      </c>
      <c r="D471" s="11" t="s">
        <v>2346</v>
      </c>
      <c r="E471" s="11" t="s">
        <v>1984</v>
      </c>
      <c r="F471" s="12"/>
      <c r="G471" s="12" t="s">
        <v>900</v>
      </c>
      <c r="H471" s="4" t="str">
        <f>CONCATENATE("img",Table3[[#This Row],[name]],"_ofs = $",Table3[[#This Row],[ofs]])</f>
        <v>imgUNK0A_014E_ofs = $014E</v>
      </c>
    </row>
    <row r="472" spans="1:8" x14ac:dyDescent="0.25">
      <c r="A472" s="11" t="s">
        <v>1105</v>
      </c>
      <c r="B472" s="5">
        <f t="shared" si="7"/>
        <v>168</v>
      </c>
      <c r="C472" s="10" t="str">
        <f>DEC2HEX(Table3[[#This Row],[num]]*2,4)</f>
        <v>0150</v>
      </c>
      <c r="D472" s="11" t="s">
        <v>2346</v>
      </c>
      <c r="E472" s="11" t="s">
        <v>1985</v>
      </c>
      <c r="F472" s="12"/>
      <c r="G472" s="12" t="s">
        <v>900</v>
      </c>
      <c r="H472" s="4" t="str">
        <f>CONCATENATE("img",Table3[[#This Row],[name]],"_ofs = $",Table3[[#This Row],[ofs]])</f>
        <v>imgUNK0A_0150_ofs = $0150</v>
      </c>
    </row>
    <row r="473" spans="1:8" x14ac:dyDescent="0.25">
      <c r="A473" s="11" t="s">
        <v>1105</v>
      </c>
      <c r="B473" s="5">
        <f t="shared" si="7"/>
        <v>169</v>
      </c>
      <c r="C473" s="10" t="str">
        <f>DEC2HEX(Table3[[#This Row],[num]]*2,4)</f>
        <v>0152</v>
      </c>
      <c r="D473" s="11" t="s">
        <v>2346</v>
      </c>
      <c r="E473" s="11" t="s">
        <v>1986</v>
      </c>
      <c r="F473" s="12"/>
      <c r="G473" s="12" t="s">
        <v>900</v>
      </c>
      <c r="H473" s="4" t="str">
        <f>CONCATENATE("img",Table3[[#This Row],[name]],"_ofs = $",Table3[[#This Row],[ofs]])</f>
        <v>imgUNK0A_0152_ofs = $0152</v>
      </c>
    </row>
    <row r="474" spans="1:8" x14ac:dyDescent="0.25">
      <c r="A474" s="11" t="s">
        <v>1105</v>
      </c>
      <c r="B474" s="5">
        <f t="shared" si="7"/>
        <v>170</v>
      </c>
      <c r="C474" s="10" t="str">
        <f>DEC2HEX(Table3[[#This Row],[num]]*2,4)</f>
        <v>0154</v>
      </c>
      <c r="D474" s="11" t="s">
        <v>2346</v>
      </c>
      <c r="E474" s="11" t="s">
        <v>1987</v>
      </c>
      <c r="F474" s="12"/>
      <c r="G474" s="12" t="s">
        <v>900</v>
      </c>
      <c r="H474" s="4" t="str">
        <f>CONCATENATE("img",Table3[[#This Row],[name]],"_ofs = $",Table3[[#This Row],[ofs]])</f>
        <v>imgUNK0A_0154_ofs = $0154</v>
      </c>
    </row>
    <row r="475" spans="1:8" x14ac:dyDescent="0.25">
      <c r="A475" s="11" t="s">
        <v>1105</v>
      </c>
      <c r="B475" s="5">
        <f t="shared" si="7"/>
        <v>171</v>
      </c>
      <c r="C475" s="10" t="str">
        <f>DEC2HEX(Table3[[#This Row],[num]]*2,4)</f>
        <v>0156</v>
      </c>
      <c r="D475" s="11" t="s">
        <v>2346</v>
      </c>
      <c r="E475" s="11" t="s">
        <v>1988</v>
      </c>
      <c r="F475" s="12"/>
      <c r="G475" s="12" t="s">
        <v>900</v>
      </c>
      <c r="H475" s="4" t="str">
        <f>CONCATENATE("img",Table3[[#This Row],[name]],"_ofs = $",Table3[[#This Row],[ofs]])</f>
        <v>imgUNK0A_0156_ofs = $0156</v>
      </c>
    </row>
    <row r="476" spans="1:8" x14ac:dyDescent="0.25">
      <c r="A476" s="11" t="s">
        <v>1105</v>
      </c>
      <c r="B476" s="5">
        <f t="shared" si="7"/>
        <v>172</v>
      </c>
      <c r="C476" s="10" t="str">
        <f>DEC2HEX(Table3[[#This Row],[num]]*2,4)</f>
        <v>0158</v>
      </c>
      <c r="D476" s="11" t="s">
        <v>2346</v>
      </c>
      <c r="E476" s="11" t="s">
        <v>1989</v>
      </c>
      <c r="F476" s="12"/>
      <c r="G476" s="12" t="s">
        <v>900</v>
      </c>
      <c r="H476" s="4" t="str">
        <f>CONCATENATE("img",Table3[[#This Row],[name]],"_ofs = $",Table3[[#This Row],[ofs]])</f>
        <v>imgUNK0A_0158_ofs = $0158</v>
      </c>
    </row>
    <row r="477" spans="1:8" x14ac:dyDescent="0.25">
      <c r="A477" s="11" t="s">
        <v>1105</v>
      </c>
      <c r="B477" s="5">
        <f t="shared" si="7"/>
        <v>173</v>
      </c>
      <c r="C477" s="10" t="str">
        <f>DEC2HEX(Table3[[#This Row],[num]]*2,4)</f>
        <v>015A</v>
      </c>
      <c r="D477" s="11" t="s">
        <v>2346</v>
      </c>
      <c r="E477" s="11" t="s">
        <v>1990</v>
      </c>
      <c r="F477" s="12"/>
      <c r="G477" s="12" t="s">
        <v>900</v>
      </c>
      <c r="H477" s="4" t="str">
        <f>CONCATENATE("img",Table3[[#This Row],[name]],"_ofs = $",Table3[[#This Row],[ofs]])</f>
        <v>imgUNK0A_015A_ofs = $015A</v>
      </c>
    </row>
    <row r="478" spans="1:8" x14ac:dyDescent="0.25">
      <c r="A478" s="11" t="s">
        <v>1105</v>
      </c>
      <c r="B478" s="5">
        <f t="shared" si="7"/>
        <v>174</v>
      </c>
      <c r="C478" s="10" t="str">
        <f>DEC2HEX(Table3[[#This Row],[num]]*2,4)</f>
        <v>015C</v>
      </c>
      <c r="D478" s="11" t="s">
        <v>2346</v>
      </c>
      <c r="E478" s="11" t="s">
        <v>1991</v>
      </c>
      <c r="F478" s="12"/>
      <c r="G478" s="12" t="s">
        <v>900</v>
      </c>
      <c r="H478" s="4" t="str">
        <f>CONCATENATE("img",Table3[[#This Row],[name]],"_ofs = $",Table3[[#This Row],[ofs]])</f>
        <v>imgUNK0A_015C_ofs = $015C</v>
      </c>
    </row>
    <row r="479" spans="1:8" x14ac:dyDescent="0.25">
      <c r="A479" s="11" t="s">
        <v>1105</v>
      </c>
      <c r="B479" s="5">
        <f t="shared" si="7"/>
        <v>175</v>
      </c>
      <c r="C479" s="10" t="str">
        <f>DEC2HEX(Table3[[#This Row],[num]]*2,4)</f>
        <v>015E</v>
      </c>
      <c r="D479" s="11" t="s">
        <v>2346</v>
      </c>
      <c r="E479" s="11" t="s">
        <v>1992</v>
      </c>
      <c r="F479" s="12"/>
      <c r="G479" s="12" t="s">
        <v>900</v>
      </c>
      <c r="H479" s="4" t="str">
        <f>CONCATENATE("img",Table3[[#This Row],[name]],"_ofs = $",Table3[[#This Row],[ofs]])</f>
        <v>imgUNK0A_015E_ofs = $015E</v>
      </c>
    </row>
    <row r="480" spans="1:8" x14ac:dyDescent="0.25">
      <c r="A480" s="11" t="s">
        <v>1105</v>
      </c>
      <c r="B480" s="5">
        <f t="shared" si="7"/>
        <v>176</v>
      </c>
      <c r="C480" s="10" t="str">
        <f>DEC2HEX(Table3[[#This Row],[num]]*2,4)</f>
        <v>0160</v>
      </c>
      <c r="D480" s="11" t="s">
        <v>2346</v>
      </c>
      <c r="E480" s="11" t="s">
        <v>1993</v>
      </c>
      <c r="F480" s="12"/>
      <c r="G480" s="12" t="s">
        <v>900</v>
      </c>
      <c r="H480" s="4" t="str">
        <f>CONCATENATE("img",Table3[[#This Row],[name]],"_ofs = $",Table3[[#This Row],[ofs]])</f>
        <v>imgUNK0A_0160_ofs = $0160</v>
      </c>
    </row>
    <row r="481" spans="1:8" x14ac:dyDescent="0.25">
      <c r="A481" s="11" t="s">
        <v>1105</v>
      </c>
      <c r="B481" s="5">
        <f t="shared" si="7"/>
        <v>177</v>
      </c>
      <c r="C481" s="10" t="str">
        <f>DEC2HEX(Table3[[#This Row],[num]]*2,4)</f>
        <v>0162</v>
      </c>
      <c r="D481" s="11" t="s">
        <v>2497</v>
      </c>
      <c r="E481" s="11" t="s">
        <v>1087</v>
      </c>
      <c r="F481" s="12"/>
      <c r="G481" s="12"/>
      <c r="H481" s="4" t="str">
        <f>CONCATENATE("img",Table3[[#This Row],[name]],"_ofs = $",Table3[[#This Row],[ofs]])</f>
        <v>imgAnnounce100000_ofs = $0162</v>
      </c>
    </row>
    <row r="482" spans="1:8" x14ac:dyDescent="0.25">
      <c r="A482" s="11" t="s">
        <v>1105</v>
      </c>
      <c r="B482" s="5">
        <f t="shared" si="7"/>
        <v>178</v>
      </c>
      <c r="C482" s="10" t="str">
        <f>DEC2HEX(Table3[[#This Row],[num]]*2,4)</f>
        <v>0164</v>
      </c>
      <c r="D482" s="11" t="s">
        <v>2498</v>
      </c>
      <c r="E482" s="11" t="s">
        <v>1994</v>
      </c>
      <c r="F482" s="12"/>
      <c r="G482" s="12"/>
      <c r="H482" s="4" t="str">
        <f>CONCATENATE("img",Table3[[#This Row],[name]],"_ofs = $",Table3[[#This Row],[ofs]])</f>
        <v>imgFairy015E_0_ofs = $0164</v>
      </c>
    </row>
    <row r="483" spans="1:8" x14ac:dyDescent="0.25">
      <c r="A483" s="11" t="s">
        <v>1105</v>
      </c>
      <c r="B483" s="5">
        <f t="shared" si="7"/>
        <v>179</v>
      </c>
      <c r="C483" s="10" t="str">
        <f>DEC2HEX(Table3[[#This Row],[num]]*2,4)</f>
        <v>0166</v>
      </c>
      <c r="D483" s="11" t="s">
        <v>2499</v>
      </c>
      <c r="E483" s="11" t="s">
        <v>1995</v>
      </c>
      <c r="F483" s="12"/>
      <c r="G483" s="12"/>
      <c r="H483" s="4" t="str">
        <f>CONCATENATE("img",Table3[[#This Row],[name]],"_ofs = $",Table3[[#This Row],[ofs]])</f>
        <v>imgFairy015F_1_ofs = $0166</v>
      </c>
    </row>
    <row r="484" spans="1:8" x14ac:dyDescent="0.25">
      <c r="A484" s="11" t="s">
        <v>1105</v>
      </c>
      <c r="B484" s="5">
        <f t="shared" si="7"/>
        <v>180</v>
      </c>
      <c r="C484" s="10" t="str">
        <f>DEC2HEX(Table3[[#This Row],[num]]*2,4)</f>
        <v>0168</v>
      </c>
      <c r="D484" s="11" t="s">
        <v>2500</v>
      </c>
      <c r="E484" s="11" t="s">
        <v>1996</v>
      </c>
      <c r="F484" s="12"/>
      <c r="G484" s="12"/>
      <c r="H484" s="4" t="str">
        <f>CONCATENATE("img",Table3[[#This Row],[name]],"_ofs = $",Table3[[#This Row],[ofs]])</f>
        <v>imgFairyFlyL_2_ofs = $0168</v>
      </c>
    </row>
    <row r="485" spans="1:8" x14ac:dyDescent="0.25">
      <c r="A485" s="11" t="s">
        <v>1105</v>
      </c>
      <c r="B485" s="5">
        <f t="shared" si="7"/>
        <v>181</v>
      </c>
      <c r="C485" s="10" t="str">
        <f>DEC2HEX(Table3[[#This Row],[num]]*2,4)</f>
        <v>016A</v>
      </c>
      <c r="D485" s="11" t="s">
        <v>2501</v>
      </c>
      <c r="E485" s="11" t="s">
        <v>1997</v>
      </c>
      <c r="F485" s="12"/>
      <c r="G485" s="12"/>
      <c r="H485" s="4" t="str">
        <f>CONCATENATE("img",Table3[[#This Row],[name]],"_ofs = $",Table3[[#This Row],[ofs]])</f>
        <v>imgFairy015E_1_ofs = $016A</v>
      </c>
    </row>
    <row r="486" spans="1:8" x14ac:dyDescent="0.25">
      <c r="A486" s="11" t="s">
        <v>1105</v>
      </c>
      <c r="B486" s="5">
        <f t="shared" si="7"/>
        <v>182</v>
      </c>
      <c r="C486" s="10" t="str">
        <f>DEC2HEX(Table3[[#This Row],[num]]*2,4)</f>
        <v>016C</v>
      </c>
      <c r="D486" s="11" t="s">
        <v>2502</v>
      </c>
      <c r="E486" s="11" t="s">
        <v>1998</v>
      </c>
      <c r="F486" s="12"/>
      <c r="G486" s="12"/>
      <c r="H486" s="4" t="str">
        <f>CONCATENATE("img",Table3[[#This Row],[name]],"_ofs = $",Table3[[#This Row],[ofs]])</f>
        <v>imgFairy0161_0_ofs = $016C</v>
      </c>
    </row>
    <row r="487" spans="1:8" x14ac:dyDescent="0.25">
      <c r="A487" s="11" t="s">
        <v>1105</v>
      </c>
      <c r="B487" s="5">
        <f t="shared" si="7"/>
        <v>183</v>
      </c>
      <c r="C487" s="10" t="str">
        <f>DEC2HEX(Table3[[#This Row],[num]]*2,4)</f>
        <v>016E</v>
      </c>
      <c r="D487" s="11" t="s">
        <v>2503</v>
      </c>
      <c r="E487" s="11" t="s">
        <v>1579</v>
      </c>
      <c r="F487" s="12"/>
      <c r="G487" s="12"/>
      <c r="H487" s="4" t="str">
        <f>CONCATENATE("img",Table3[[#This Row],[name]],"_ofs = $",Table3[[#This Row],[ofs]])</f>
        <v>imgFairy0163_ofs = $016E</v>
      </c>
    </row>
    <row r="488" spans="1:8" x14ac:dyDescent="0.25">
      <c r="A488" s="11" t="s">
        <v>1105</v>
      </c>
      <c r="B488" s="5">
        <f t="shared" si="7"/>
        <v>184</v>
      </c>
      <c r="C488" s="10" t="str">
        <f>DEC2HEX(Table3[[#This Row],[num]]*2,4)</f>
        <v>0170</v>
      </c>
      <c r="D488" s="11" t="s">
        <v>2504</v>
      </c>
      <c r="E488" s="11" t="s">
        <v>1084</v>
      </c>
      <c r="F488" s="12"/>
      <c r="G488" s="12"/>
      <c r="H488" s="4" t="str">
        <f>CONCATENATE("img",Table3[[#This Row],[name]],"_ofs = $",Table3[[#This Row],[ofs]])</f>
        <v>imgAnnounce30000_ofs = $0170</v>
      </c>
    </row>
    <row r="489" spans="1:8" x14ac:dyDescent="0.25">
      <c r="A489" s="11" t="s">
        <v>1105</v>
      </c>
      <c r="B489" s="5">
        <f t="shared" si="7"/>
        <v>185</v>
      </c>
      <c r="C489" s="10" t="str">
        <f>DEC2HEX(Table3[[#This Row],[num]]*2,4)</f>
        <v>0172</v>
      </c>
      <c r="D489" s="11" t="s">
        <v>2505</v>
      </c>
      <c r="E489" s="11" t="s">
        <v>1085</v>
      </c>
      <c r="F489" s="12"/>
      <c r="G489" s="12"/>
      <c r="H489" s="4" t="str">
        <f>CONCATENATE("img",Table3[[#This Row],[name]],"_ofs = $",Table3[[#This Row],[ofs]])</f>
        <v>imgAnnounce10000_ofs = $0172</v>
      </c>
    </row>
    <row r="490" spans="1:8" x14ac:dyDescent="0.25">
      <c r="A490" s="11" t="s">
        <v>1105</v>
      </c>
      <c r="B490" s="5">
        <f t="shared" si="7"/>
        <v>186</v>
      </c>
      <c r="C490" s="10" t="str">
        <f>DEC2HEX(Table3[[#This Row],[num]]*2,4)</f>
        <v>0174</v>
      </c>
      <c r="D490" s="11" t="s">
        <v>2506</v>
      </c>
      <c r="E490" s="11" t="s">
        <v>1580</v>
      </c>
      <c r="F490" s="12"/>
      <c r="G490" s="12"/>
      <c r="H490" s="4" t="str">
        <f>CONCATENATE("img",Table3[[#This Row],[name]],"_ofs = $",Table3[[#This Row],[ofs]])</f>
        <v>imgCubby0164_ofs = $0174</v>
      </c>
    </row>
    <row r="491" spans="1:8" x14ac:dyDescent="0.25">
      <c r="A491" s="11" t="s">
        <v>1105</v>
      </c>
      <c r="B491" s="5">
        <f t="shared" si="7"/>
        <v>187</v>
      </c>
      <c r="C491" s="10" t="str">
        <f>DEC2HEX(Table3[[#This Row],[num]]*2,4)</f>
        <v>0176</v>
      </c>
      <c r="D491" s="11" t="s">
        <v>2507</v>
      </c>
      <c r="E491" s="11" t="s">
        <v>1581</v>
      </c>
      <c r="F491" s="12"/>
      <c r="G491" s="12"/>
      <c r="H491" s="4" t="str">
        <f>CONCATENATE("img",Table3[[#This Row],[name]],"_ofs = $",Table3[[#This Row],[ofs]])</f>
        <v>imgJudy0165_ofs = $0176</v>
      </c>
    </row>
    <row r="492" spans="1:8" x14ac:dyDescent="0.25">
      <c r="A492" s="11" t="s">
        <v>1105</v>
      </c>
      <c r="B492" s="5">
        <f t="shared" si="7"/>
        <v>188</v>
      </c>
      <c r="C492" s="10" t="str">
        <f>DEC2HEX(Table3[[#This Row],[num]]*2,4)</f>
        <v>0178</v>
      </c>
      <c r="D492" s="11" t="s">
        <v>2508</v>
      </c>
      <c r="E492" s="11" t="s">
        <v>1582</v>
      </c>
      <c r="F492" s="12"/>
      <c r="G492" s="12"/>
      <c r="H492" s="4" t="str">
        <f>CONCATENATE("img",Table3[[#This Row],[name]],"_ofs = $",Table3[[#This Row],[ofs]])</f>
        <v>imgHeart0166_ofs = $0178</v>
      </c>
    </row>
    <row r="493" spans="1:8" x14ac:dyDescent="0.25">
      <c r="A493" s="11" t="s">
        <v>1105</v>
      </c>
      <c r="B493" s="5">
        <f t="shared" si="7"/>
        <v>189</v>
      </c>
      <c r="C493" s="10" t="str">
        <f>DEC2HEX(Table3[[#This Row],[num]]*2,4)</f>
        <v>017A</v>
      </c>
      <c r="D493" s="11" t="s">
        <v>2509</v>
      </c>
      <c r="E493" s="11" t="s">
        <v>1999</v>
      </c>
      <c r="F493" s="12"/>
      <c r="G493" s="12"/>
      <c r="H493" s="4" t="str">
        <f>CONCATENATE("img",Table3[[#This Row],[name]],"_ofs = $",Table3[[#This Row],[ofs]])</f>
        <v>imgFinalSkelMonstaSpawn_2_ofs = $017A</v>
      </c>
    </row>
    <row r="494" spans="1:8" x14ac:dyDescent="0.25">
      <c r="A494" s="11" t="s">
        <v>1105</v>
      </c>
      <c r="B494" s="5">
        <f t="shared" si="7"/>
        <v>190</v>
      </c>
      <c r="C494" s="10" t="str">
        <f>DEC2HEX(Table3[[#This Row],[num]]*2,4)</f>
        <v>017C</v>
      </c>
      <c r="D494" s="11" t="s">
        <v>2510</v>
      </c>
      <c r="E494" s="11" t="s">
        <v>2000</v>
      </c>
      <c r="F494" s="12"/>
      <c r="G494" s="12"/>
      <c r="H494" s="4" t="str">
        <f>CONCATENATE("img",Table3[[#This Row],[name]],"_ofs = $",Table3[[#This Row],[ofs]])</f>
        <v>imgFinalSkelMonstaSpawn_1_ofs = $017C</v>
      </c>
    </row>
    <row r="495" spans="1:8" x14ac:dyDescent="0.25">
      <c r="A495" s="11" t="s">
        <v>1105</v>
      </c>
      <c r="B495" s="5">
        <f t="shared" si="7"/>
        <v>191</v>
      </c>
      <c r="C495" s="10" t="str">
        <f>DEC2HEX(Table3[[#This Row],[num]]*2,4)</f>
        <v>017E</v>
      </c>
      <c r="D495" s="11" t="s">
        <v>2511</v>
      </c>
      <c r="E495" s="11" t="s">
        <v>2001</v>
      </c>
      <c r="F495" s="12"/>
      <c r="G495" s="12"/>
      <c r="H495" s="4" t="str">
        <f>CONCATENATE("img",Table3[[#This Row],[name]],"_ofs = $",Table3[[#This Row],[ofs]])</f>
        <v>imgFinalSkelMonstaSpawn_0_ofs = $017E</v>
      </c>
    </row>
    <row r="496" spans="1:8" x14ac:dyDescent="0.25">
      <c r="A496" s="11" t="s">
        <v>1105</v>
      </c>
      <c r="B496" s="5">
        <f t="shared" si="7"/>
        <v>192</v>
      </c>
      <c r="C496" s="10" t="str">
        <f>DEC2HEX(Table3[[#This Row],[num]]*2,4)</f>
        <v>0180</v>
      </c>
      <c r="D496" s="11" t="s">
        <v>2512</v>
      </c>
      <c r="E496" s="11" t="s">
        <v>2002</v>
      </c>
      <c r="F496" s="12"/>
      <c r="G496" s="12"/>
      <c r="H496" s="4" t="str">
        <f>CONCATENATE("img",Table3[[#This Row],[name]],"_ofs = $",Table3[[#This Row],[ofs]])</f>
        <v>imgFinalSkelMonstaL_0_ofs = $0180</v>
      </c>
    </row>
    <row r="497" spans="1:8" x14ac:dyDescent="0.25">
      <c r="A497" s="11" t="s">
        <v>1105</v>
      </c>
      <c r="B497" s="5">
        <f t="shared" si="7"/>
        <v>193</v>
      </c>
      <c r="C497" s="10" t="str">
        <f>DEC2HEX(Table3[[#This Row],[num]]*2,4)</f>
        <v>0182</v>
      </c>
      <c r="D497" s="11" t="s">
        <v>2513</v>
      </c>
      <c r="E497" s="11" t="s">
        <v>2003</v>
      </c>
      <c r="F497" s="12"/>
      <c r="G497" s="12"/>
      <c r="H497" s="4" t="str">
        <f>CONCATENATE("img",Table3[[#This Row],[name]],"_ofs = $",Table3[[#This Row],[ofs]])</f>
        <v>imgFinalSkelMonstaL_1_ofs = $0182</v>
      </c>
    </row>
    <row r="498" spans="1:8" x14ac:dyDescent="0.25">
      <c r="A498" s="11" t="s">
        <v>1105</v>
      </c>
      <c r="B498" s="5">
        <f t="shared" ref="B498:B559" si="8">ROW()-2-302</f>
        <v>194</v>
      </c>
      <c r="C498" s="10" t="str">
        <f>DEC2HEX(Table3[[#This Row],[num]]*2,4)</f>
        <v>0184</v>
      </c>
      <c r="D498" s="11" t="s">
        <v>2514</v>
      </c>
      <c r="E498" s="11" t="s">
        <v>2004</v>
      </c>
      <c r="F498" s="12"/>
      <c r="G498" s="12"/>
      <c r="H498" s="4" t="str">
        <f>CONCATENATE("img",Table3[[#This Row],[name]],"_ofs = $",Table3[[#This Row],[ofs]])</f>
        <v>imgFinalSkelMonstaR_0_ofs = $0184</v>
      </c>
    </row>
    <row r="499" spans="1:8" x14ac:dyDescent="0.25">
      <c r="A499" s="11" t="s">
        <v>1105</v>
      </c>
      <c r="B499" s="5">
        <f t="shared" si="8"/>
        <v>195</v>
      </c>
      <c r="C499" s="10" t="str">
        <f>DEC2HEX(Table3[[#This Row],[num]]*2,4)</f>
        <v>0186</v>
      </c>
      <c r="D499" s="11" t="s">
        <v>2515</v>
      </c>
      <c r="E499" s="11" t="s">
        <v>2005</v>
      </c>
      <c r="F499" s="12"/>
      <c r="G499" s="12"/>
      <c r="H499" s="4" t="str">
        <f>CONCATENATE("img",Table3[[#This Row],[name]],"_ofs = $",Table3[[#This Row],[ofs]])</f>
        <v>imgFinalSkelMonstaR_1_ofs = $0186</v>
      </c>
    </row>
    <row r="500" spans="1:8" x14ac:dyDescent="0.25">
      <c r="A500" s="11" t="s">
        <v>1105</v>
      </c>
      <c r="B500" s="5">
        <f t="shared" si="8"/>
        <v>196</v>
      </c>
      <c r="C500" s="10" t="str">
        <f>DEC2HEX(Table3[[#This Row],[num]]*2,4)</f>
        <v>0188</v>
      </c>
      <c r="D500" s="11" t="s">
        <v>2516</v>
      </c>
      <c r="E500" s="11" t="s">
        <v>2006</v>
      </c>
      <c r="F500" s="12"/>
      <c r="G500" s="12"/>
      <c r="H500" s="4" t="str">
        <f>CONCATENATE("img",Table3[[#This Row],[name]],"_ofs = $",Table3[[#This Row],[ofs]])</f>
        <v>imgBonusBall_0_ofs = $0188</v>
      </c>
    </row>
    <row r="501" spans="1:8" x14ac:dyDescent="0.25">
      <c r="A501" s="11" t="s">
        <v>1105</v>
      </c>
      <c r="B501" s="5">
        <f t="shared" si="8"/>
        <v>197</v>
      </c>
      <c r="C501" s="10" t="str">
        <f>DEC2HEX(Table3[[#This Row],[num]]*2,4)</f>
        <v>018A</v>
      </c>
      <c r="D501" s="11" t="s">
        <v>2517</v>
      </c>
      <c r="E501" s="11" t="s">
        <v>2007</v>
      </c>
      <c r="F501" s="12"/>
      <c r="G501" s="12"/>
      <c r="H501" s="4" t="str">
        <f>CONCATENATE("img",Table3[[#This Row],[name]],"_ofs = $",Table3[[#This Row],[ofs]])</f>
        <v>imgBonusBall_1_ofs = $018A</v>
      </c>
    </row>
    <row r="502" spans="1:8" x14ac:dyDescent="0.25">
      <c r="A502" s="11" t="s">
        <v>1105</v>
      </c>
      <c r="B502" s="5">
        <f t="shared" si="8"/>
        <v>198</v>
      </c>
      <c r="C502" s="10" t="str">
        <f>DEC2HEX(Table3[[#This Row],[num]]*2,4)</f>
        <v>018C</v>
      </c>
      <c r="D502" s="11" t="s">
        <v>2518</v>
      </c>
      <c r="E502" s="11" t="s">
        <v>2008</v>
      </c>
      <c r="F502" s="12"/>
      <c r="G502" s="12"/>
      <c r="H502" s="4" t="str">
        <f>CONCATENATE("img",Table3[[#This Row],[name]],"_ofs = $",Table3[[#This Row],[ofs]])</f>
        <v>imgBonusBall_2_ofs = $018C</v>
      </c>
    </row>
    <row r="503" spans="1:8" x14ac:dyDescent="0.25">
      <c r="A503" s="11" t="s">
        <v>1105</v>
      </c>
      <c r="B503" s="5">
        <f t="shared" si="8"/>
        <v>199</v>
      </c>
      <c r="C503" s="10" t="str">
        <f>DEC2HEX(Table3[[#This Row],[num]]*2,4)</f>
        <v>018E</v>
      </c>
      <c r="D503" s="11" t="s">
        <v>2519</v>
      </c>
      <c r="E503" s="11" t="s">
        <v>2009</v>
      </c>
      <c r="F503" s="12"/>
      <c r="G503" s="12"/>
      <c r="H503" s="4" t="str">
        <f>CONCATENATE("img",Table3[[#This Row],[name]],"_ofs = $",Table3[[#This Row],[ofs]])</f>
        <v>imgBonusBall_3_ofs = $018E</v>
      </c>
    </row>
    <row r="504" spans="1:8" x14ac:dyDescent="0.25">
      <c r="A504" s="11" t="s">
        <v>1105</v>
      </c>
      <c r="B504" s="5">
        <f t="shared" si="8"/>
        <v>200</v>
      </c>
      <c r="C504" s="10" t="str">
        <f>DEC2HEX(Table3[[#This Row],[num]]*2,4)</f>
        <v>0190</v>
      </c>
      <c r="D504" s="11" t="s">
        <v>2520</v>
      </c>
      <c r="E504" s="11" t="s">
        <v>2010</v>
      </c>
      <c r="F504" s="12"/>
      <c r="G504" s="12"/>
      <c r="H504" s="4" t="str">
        <f>CONCATENATE("img",Table3[[#This Row],[name]],"_ofs = $",Table3[[#This Row],[ofs]])</f>
        <v>imgBonusHead_0_ofs = $0190</v>
      </c>
    </row>
    <row r="505" spans="1:8" x14ac:dyDescent="0.25">
      <c r="A505" s="11" t="s">
        <v>1105</v>
      </c>
      <c r="B505" s="5">
        <f t="shared" si="8"/>
        <v>201</v>
      </c>
      <c r="C505" s="10" t="str">
        <f>DEC2HEX(Table3[[#This Row],[num]]*2,4)</f>
        <v>0192</v>
      </c>
      <c r="D505" s="11" t="s">
        <v>2521</v>
      </c>
      <c r="E505" s="11" t="s">
        <v>2011</v>
      </c>
      <c r="F505" s="12"/>
      <c r="G505" s="12"/>
      <c r="H505" s="4" t="str">
        <f>CONCATENATE("img",Table3[[#This Row],[name]],"_ofs = $",Table3[[#This Row],[ofs]])</f>
        <v>imgBonusHead_1_ofs = $0192</v>
      </c>
    </row>
    <row r="506" spans="1:8" x14ac:dyDescent="0.25">
      <c r="A506" s="11" t="s">
        <v>1105</v>
      </c>
      <c r="B506" s="5">
        <f t="shared" si="8"/>
        <v>202</v>
      </c>
      <c r="C506" s="10" t="str">
        <f>DEC2HEX(Table3[[#This Row],[num]]*2,4)</f>
        <v>0194</v>
      </c>
      <c r="D506" s="11" t="s">
        <v>2522</v>
      </c>
      <c r="E506" s="11" t="s">
        <v>2012</v>
      </c>
      <c r="F506" s="12"/>
      <c r="G506" s="12"/>
      <c r="H506" s="4" t="str">
        <f>CONCATENATE("img",Table3[[#This Row],[name]],"_ofs = $",Table3[[#This Row],[ofs]])</f>
        <v>imgBonusHand_0_ofs = $0194</v>
      </c>
    </row>
    <row r="507" spans="1:8" x14ac:dyDescent="0.25">
      <c r="A507" s="11" t="s">
        <v>1105</v>
      </c>
      <c r="B507" s="5">
        <f t="shared" si="8"/>
        <v>203</v>
      </c>
      <c r="C507" s="10" t="str">
        <f>DEC2HEX(Table3[[#This Row],[num]]*2,4)</f>
        <v>0196</v>
      </c>
      <c r="D507" s="11" t="s">
        <v>2523</v>
      </c>
      <c r="E507" s="11" t="s">
        <v>2013</v>
      </c>
      <c r="F507" s="12"/>
      <c r="G507" s="12"/>
      <c r="H507" s="4" t="str">
        <f>CONCATENATE("img",Table3[[#This Row],[name]],"_ofs = $",Table3[[#This Row],[ofs]])</f>
        <v>imgBonusHand_1_ofs = $0196</v>
      </c>
    </row>
    <row r="508" spans="1:8" x14ac:dyDescent="0.25">
      <c r="A508" s="11" t="s">
        <v>1105</v>
      </c>
      <c r="B508" s="5">
        <f t="shared" si="8"/>
        <v>204</v>
      </c>
      <c r="C508" s="10" t="str">
        <f>DEC2HEX(Table3[[#This Row],[num]]*2,4)</f>
        <v>0198</v>
      </c>
      <c r="D508" s="11" t="s">
        <v>2524</v>
      </c>
      <c r="E508" s="11" t="s">
        <v>2014</v>
      </c>
      <c r="F508" s="12"/>
      <c r="G508" s="12"/>
      <c r="H508" s="4" t="str">
        <f>CONCATENATE("img",Table3[[#This Row],[name]],"_ofs = $",Table3[[#This Row],[ofs]])</f>
        <v>imgBonusHandUpLeft_0_ofs = $0198</v>
      </c>
    </row>
    <row r="509" spans="1:8" x14ac:dyDescent="0.25">
      <c r="A509" s="11" t="s">
        <v>1105</v>
      </c>
      <c r="B509" s="5">
        <f t="shared" si="8"/>
        <v>205</v>
      </c>
      <c r="C509" s="10" t="str">
        <f>DEC2HEX(Table3[[#This Row],[num]]*2,4)</f>
        <v>019A</v>
      </c>
      <c r="D509" s="11" t="s">
        <v>2525</v>
      </c>
      <c r="E509" s="11" t="s">
        <v>2015</v>
      </c>
      <c r="F509" s="12"/>
      <c r="G509" s="12"/>
      <c r="H509" s="4" t="str">
        <f>CONCATENATE("img",Table3[[#This Row],[name]],"_ofs = $",Table3[[#This Row],[ofs]])</f>
        <v>imgBonusHandUpLeft_1_ofs = $019A</v>
      </c>
    </row>
    <row r="510" spans="1:8" x14ac:dyDescent="0.25">
      <c r="A510" s="11" t="s">
        <v>1105</v>
      </c>
      <c r="B510" s="5">
        <f t="shared" si="8"/>
        <v>206</v>
      </c>
      <c r="C510" s="10" t="str">
        <f>DEC2HEX(Table3[[#This Row],[num]]*2,4)</f>
        <v>019C</v>
      </c>
      <c r="D510" s="11" t="s">
        <v>2526</v>
      </c>
      <c r="E510" s="11" t="s">
        <v>2016</v>
      </c>
      <c r="F510" s="12"/>
      <c r="G510" s="12"/>
      <c r="H510" s="4" t="str">
        <f>CONCATENATE("img",Table3[[#This Row],[name]],"_ofs = $",Table3[[#This Row],[ofs]])</f>
        <v>imgBonusHandDownRight_0_ofs = $019C</v>
      </c>
    </row>
    <row r="511" spans="1:8" x14ac:dyDescent="0.25">
      <c r="A511" s="11" t="s">
        <v>1105</v>
      </c>
      <c r="B511" s="5">
        <f t="shared" si="8"/>
        <v>207</v>
      </c>
      <c r="C511" s="10" t="str">
        <f>DEC2HEX(Table3[[#This Row],[num]]*2,4)</f>
        <v>019E</v>
      </c>
      <c r="D511" s="11" t="s">
        <v>2527</v>
      </c>
      <c r="E511" s="11" t="s">
        <v>2017</v>
      </c>
      <c r="F511" s="12"/>
      <c r="G511" s="12"/>
      <c r="H511" s="4" t="str">
        <f>CONCATENATE("img",Table3[[#This Row],[name]],"_ofs = $",Table3[[#This Row],[ofs]])</f>
        <v>imgBonusHandDownRight_1_ofs = $019E</v>
      </c>
    </row>
    <row r="512" spans="1:8" x14ac:dyDescent="0.25">
      <c r="A512" s="11" t="s">
        <v>1105</v>
      </c>
      <c r="B512" s="5">
        <f t="shared" si="8"/>
        <v>208</v>
      </c>
      <c r="C512" s="10" t="str">
        <f>DEC2HEX(Table3[[#This Row],[num]]*2,4)</f>
        <v>01A0</v>
      </c>
      <c r="D512" s="11" t="s">
        <v>2528</v>
      </c>
      <c r="E512" s="11" t="s">
        <v>2018</v>
      </c>
      <c r="F512" s="12"/>
      <c r="G512" s="12"/>
      <c r="H512" s="4" t="str">
        <f>CONCATENATE("img",Table3[[#This Row],[name]],"_ofs = $",Table3[[#This Row],[ofs]])</f>
        <v>imgBonusHandDownLeft_0_ofs = $01A0</v>
      </c>
    </row>
    <row r="513" spans="1:8" x14ac:dyDescent="0.25">
      <c r="A513" s="11" t="s">
        <v>1105</v>
      </c>
      <c r="B513" s="5">
        <f t="shared" si="8"/>
        <v>209</v>
      </c>
      <c r="C513" s="10" t="str">
        <f>DEC2HEX(Table3[[#This Row],[num]]*2,4)</f>
        <v>01A2</v>
      </c>
      <c r="D513" s="11" t="s">
        <v>2529</v>
      </c>
      <c r="E513" s="11" t="s">
        <v>2019</v>
      </c>
      <c r="F513" s="12"/>
      <c r="G513" s="12"/>
      <c r="H513" s="4" t="str">
        <f>CONCATENATE("img",Table3[[#This Row],[name]],"_ofs = $",Table3[[#This Row],[ofs]])</f>
        <v>imgBonusHandDownLeft_1_ofs = $01A2</v>
      </c>
    </row>
    <row r="514" spans="1:8" x14ac:dyDescent="0.25">
      <c r="A514" s="11" t="s">
        <v>1105</v>
      </c>
      <c r="B514" s="5">
        <f t="shared" si="8"/>
        <v>210</v>
      </c>
      <c r="C514" s="10" t="str">
        <f>DEC2HEX(Table3[[#This Row],[num]]*2,4)</f>
        <v>01A4</v>
      </c>
      <c r="D514" s="11" t="s">
        <v>2530</v>
      </c>
      <c r="E514" s="11" t="s">
        <v>2020</v>
      </c>
      <c r="F514" s="12"/>
      <c r="G514" s="12"/>
      <c r="H514" s="4" t="str">
        <f>CONCATENATE("img",Table3[[#This Row],[name]],"_ofs = $",Table3[[#This Row],[ofs]])</f>
        <v>imgIntroSkull_0_ofs = $01A4</v>
      </c>
    </row>
    <row r="515" spans="1:8" x14ac:dyDescent="0.25">
      <c r="A515" s="11" t="s">
        <v>1105</v>
      </c>
      <c r="B515" s="5">
        <f t="shared" si="8"/>
        <v>211</v>
      </c>
      <c r="C515" s="10" t="str">
        <f>DEC2HEX(Table3[[#This Row],[num]]*2,4)</f>
        <v>01A6</v>
      </c>
      <c r="D515" s="11" t="s">
        <v>2531</v>
      </c>
      <c r="E515" s="11" t="s">
        <v>2021</v>
      </c>
      <c r="F515" s="12"/>
      <c r="G515" s="12"/>
      <c r="H515" s="4" t="str">
        <f>CONCATENATE("img",Table3[[#This Row],[name]],"_ofs = $",Table3[[#This Row],[ofs]])</f>
        <v>imgIntroSkull_1_ofs = $01A6</v>
      </c>
    </row>
    <row r="516" spans="1:8" x14ac:dyDescent="0.25">
      <c r="A516" s="11" t="s">
        <v>1105</v>
      </c>
      <c r="B516" s="5">
        <f t="shared" si="8"/>
        <v>212</v>
      </c>
      <c r="C516" s="10" t="str">
        <f>DEC2HEX(Table3[[#This Row],[num]]*2,4)</f>
        <v>01A8</v>
      </c>
      <c r="D516" s="11" t="s">
        <v>2532</v>
      </c>
      <c r="E516" s="11" t="s">
        <v>1037</v>
      </c>
      <c r="F516" s="12"/>
      <c r="G516" s="12"/>
      <c r="H516" s="4" t="str">
        <f>CONCATENATE("img",Table3[[#This Row],[name]],"_ofs = $",Table3[[#This Row],[ofs]])</f>
        <v>imgIntroDrunksHide_ofs = $01A8</v>
      </c>
    </row>
    <row r="517" spans="1:8" x14ac:dyDescent="0.25">
      <c r="A517" s="11" t="s">
        <v>1105</v>
      </c>
      <c r="B517" s="5">
        <f t="shared" si="8"/>
        <v>213</v>
      </c>
      <c r="C517" s="10" t="str">
        <f>DEC2HEX(Table3[[#This Row],[num]]*2,4)</f>
        <v>01AA</v>
      </c>
      <c r="D517" s="11" t="s">
        <v>2533</v>
      </c>
      <c r="E517" s="11" t="s">
        <v>2022</v>
      </c>
      <c r="F517" s="12"/>
      <c r="G517" s="12"/>
      <c r="H517" s="4" t="str">
        <f>CONCATENATE("img",Table3[[#This Row],[name]],"_ofs = $",Table3[[#This Row],[ofs]])</f>
        <v>imgSpell_0_ofs = $01AA</v>
      </c>
    </row>
    <row r="518" spans="1:8" x14ac:dyDescent="0.25">
      <c r="A518" s="11" t="s">
        <v>1105</v>
      </c>
      <c r="B518" s="5">
        <f t="shared" si="8"/>
        <v>214</v>
      </c>
      <c r="C518" s="10" t="str">
        <f>DEC2HEX(Table3[[#This Row],[num]]*2,4)</f>
        <v>01AC</v>
      </c>
      <c r="D518" s="11" t="s">
        <v>2534</v>
      </c>
      <c r="E518" s="11" t="s">
        <v>2023</v>
      </c>
      <c r="F518" s="12"/>
      <c r="G518" s="12"/>
      <c r="H518" s="4" t="str">
        <f>CONCATENATE("img",Table3[[#This Row],[name]],"_ofs = $",Table3[[#This Row],[ofs]])</f>
        <v>imgSpell_1_ofs = $01AC</v>
      </c>
    </row>
    <row r="519" spans="1:8" x14ac:dyDescent="0.25">
      <c r="A519" s="11" t="s">
        <v>1105</v>
      </c>
      <c r="B519" s="5">
        <f t="shared" si="8"/>
        <v>215</v>
      </c>
      <c r="C519" s="10" t="str">
        <f>DEC2HEX(Table3[[#This Row],[num]]*2,4)</f>
        <v>01AE</v>
      </c>
      <c r="D519" s="11" t="s">
        <v>2535</v>
      </c>
      <c r="E519" s="11" t="s">
        <v>1038</v>
      </c>
      <c r="F519" s="12"/>
      <c r="G519" s="12"/>
      <c r="H519" s="4" t="str">
        <f>CONCATENATE("img",Table3[[#This Row],[name]],"_ofs = $",Table3[[#This Row],[ofs]])</f>
        <v>imgIntroCubbyFloat_ofs = $01AE</v>
      </c>
    </row>
    <row r="520" spans="1:8" x14ac:dyDescent="0.25">
      <c r="A520" s="11" t="s">
        <v>1105</v>
      </c>
      <c r="B520" s="5">
        <f t="shared" si="8"/>
        <v>216</v>
      </c>
      <c r="C520" s="10" t="str">
        <f>DEC2HEX(Table3[[#This Row],[num]]*2,4)</f>
        <v>01B0</v>
      </c>
      <c r="D520" s="11" t="s">
        <v>2536</v>
      </c>
      <c r="E520" s="11" t="s">
        <v>1039</v>
      </c>
      <c r="F520" s="12"/>
      <c r="G520" s="12"/>
      <c r="H520" s="4" t="str">
        <f>CONCATENATE("img",Table3[[#This Row],[name]],"_ofs = $",Table3[[#This Row],[ofs]])</f>
        <v>imgIntroJudyTrapped_ofs = $01B0</v>
      </c>
    </row>
    <row r="521" spans="1:8" x14ac:dyDescent="0.25">
      <c r="A521" s="11" t="s">
        <v>1105</v>
      </c>
      <c r="B521" s="5">
        <f t="shared" si="8"/>
        <v>217</v>
      </c>
      <c r="C521" s="10" t="str">
        <f>DEC2HEX(Table3[[#This Row],[num]]*2,4)</f>
        <v>01B2</v>
      </c>
      <c r="D521" s="11" t="s">
        <v>2537</v>
      </c>
      <c r="E521" s="11" t="s">
        <v>2024</v>
      </c>
      <c r="F521" s="12"/>
      <c r="G521" s="12"/>
      <c r="H521" s="4" t="str">
        <f>CONCATENATE("img",Table3[[#This Row],[name]],"_ofs = $",Table3[[#This Row],[ofs]])</f>
        <v>imgIntroJudyShout_1_ofs = $01B2</v>
      </c>
    </row>
    <row r="522" spans="1:8" x14ac:dyDescent="0.25">
      <c r="A522" s="11" t="s">
        <v>1105</v>
      </c>
      <c r="B522" s="5">
        <f t="shared" si="8"/>
        <v>218</v>
      </c>
      <c r="C522" s="10" t="str">
        <f>DEC2HEX(Table3[[#This Row],[num]]*2,4)</f>
        <v>01B4</v>
      </c>
      <c r="D522" s="11" t="s">
        <v>2538</v>
      </c>
      <c r="E522" s="11" t="s">
        <v>2025</v>
      </c>
      <c r="F522" s="12"/>
      <c r="G522" s="12"/>
      <c r="H522" s="4" t="str">
        <f>CONCATENATE("img",Table3[[#This Row],[name]],"_ofs = $",Table3[[#This Row],[ofs]])</f>
        <v>imgIntroJudyShout_0_ofs = $01B4</v>
      </c>
    </row>
    <row r="523" spans="1:8" x14ac:dyDescent="0.25">
      <c r="A523" s="11" t="s">
        <v>1105</v>
      </c>
      <c r="B523" s="5">
        <f t="shared" si="8"/>
        <v>219</v>
      </c>
      <c r="C523" s="10" t="str">
        <f>DEC2HEX(Table3[[#This Row],[num]]*2,4)</f>
        <v>01B6</v>
      </c>
      <c r="D523" s="11" t="s">
        <v>2539</v>
      </c>
      <c r="E523" s="11" t="s">
        <v>2026</v>
      </c>
      <c r="F523" s="12"/>
      <c r="G523" s="12"/>
      <c r="H523" s="4" t="str">
        <f>CONCATENATE("img",Table3[[#This Row],[name]],"_ofs = $",Table3[[#This Row],[ofs]])</f>
        <v>imgIntroDrunksWalkL_0_ofs = $01B6</v>
      </c>
    </row>
    <row r="524" spans="1:8" x14ac:dyDescent="0.25">
      <c r="A524" s="11" t="s">
        <v>1105</v>
      </c>
      <c r="B524" s="5">
        <f t="shared" si="8"/>
        <v>220</v>
      </c>
      <c r="C524" s="10" t="str">
        <f>DEC2HEX(Table3[[#This Row],[num]]*2,4)</f>
        <v>01B8</v>
      </c>
      <c r="D524" s="11" t="s">
        <v>2540</v>
      </c>
      <c r="E524" s="11" t="s">
        <v>2027</v>
      </c>
      <c r="F524" s="12"/>
      <c r="G524" s="12"/>
      <c r="H524" s="4" t="str">
        <f>CONCATENATE("img",Table3[[#This Row],[name]],"_ofs = $",Table3[[#This Row],[ofs]])</f>
        <v>imgIntroDrunksWalkL_1_ofs = $01B8</v>
      </c>
    </row>
    <row r="525" spans="1:8" x14ac:dyDescent="0.25">
      <c r="A525" s="11" t="s">
        <v>1105</v>
      </c>
      <c r="B525" s="5">
        <f t="shared" si="8"/>
        <v>221</v>
      </c>
      <c r="C525" s="10" t="str">
        <f>DEC2HEX(Table3[[#This Row],[num]]*2,4)</f>
        <v>01BA</v>
      </c>
      <c r="D525" s="11" t="s">
        <v>2541</v>
      </c>
      <c r="E525" s="11" t="s">
        <v>2028</v>
      </c>
      <c r="F525" s="12"/>
      <c r="G525" s="12"/>
      <c r="H525" s="4" t="str">
        <f>CONCATENATE("img",Table3[[#This Row],[name]],"_ofs = $",Table3[[#This Row],[ofs]])</f>
        <v>imgIntroDrunksWalkL_2_ofs = $01BA</v>
      </c>
    </row>
    <row r="526" spans="1:8" x14ac:dyDescent="0.25">
      <c r="A526" s="11" t="s">
        <v>1105</v>
      </c>
      <c r="B526" s="5">
        <f t="shared" si="8"/>
        <v>222</v>
      </c>
      <c r="C526" s="10" t="str">
        <f>DEC2HEX(Table3[[#This Row],[num]]*2,4)</f>
        <v>01BC</v>
      </c>
      <c r="D526" s="11" t="s">
        <v>2542</v>
      </c>
      <c r="E526" s="11" t="s">
        <v>2029</v>
      </c>
      <c r="F526" s="12"/>
      <c r="G526" s="12"/>
      <c r="H526" s="4" t="str">
        <f>CONCATENATE("img",Table3[[#This Row],[name]],"_ofs = $",Table3[[#This Row],[ofs]])</f>
        <v>imgIntroDrunksWalkL_3_ofs = $01BC</v>
      </c>
    </row>
    <row r="527" spans="1:8" x14ac:dyDescent="0.25">
      <c r="A527" s="11" t="s">
        <v>1105</v>
      </c>
      <c r="B527" s="5">
        <f t="shared" si="8"/>
        <v>223</v>
      </c>
      <c r="C527" s="10" t="str">
        <f>DEC2HEX(Table3[[#This Row],[num]]*2,4)</f>
        <v>01BE</v>
      </c>
      <c r="D527" s="11" t="s">
        <v>2543</v>
      </c>
      <c r="E527" s="11" t="s">
        <v>2030</v>
      </c>
      <c r="F527" s="12"/>
      <c r="G527" s="12"/>
      <c r="H527" s="4" t="str">
        <f>CONCATENATE("img",Table3[[#This Row],[name]],"_ofs = $",Table3[[#This Row],[ofs]])</f>
        <v>imgIntroDrunksWalkR_0_ofs = $01BE</v>
      </c>
    </row>
    <row r="528" spans="1:8" x14ac:dyDescent="0.25">
      <c r="A528" s="11" t="s">
        <v>1105</v>
      </c>
      <c r="B528" s="5">
        <f t="shared" si="8"/>
        <v>224</v>
      </c>
      <c r="C528" s="10" t="str">
        <f>DEC2HEX(Table3[[#This Row],[num]]*2,4)</f>
        <v>01C0</v>
      </c>
      <c r="D528" s="11" t="s">
        <v>2544</v>
      </c>
      <c r="E528" s="11" t="s">
        <v>2031</v>
      </c>
      <c r="F528" s="12"/>
      <c r="G528" s="12"/>
      <c r="H528" s="4" t="str">
        <f>CONCATENATE("img",Table3[[#This Row],[name]],"_ofs = $",Table3[[#This Row],[ofs]])</f>
        <v>imgIntroDrunksWalkR_1_ofs = $01C0</v>
      </c>
    </row>
    <row r="529" spans="1:8" x14ac:dyDescent="0.25">
      <c r="A529" s="11" t="s">
        <v>1105</v>
      </c>
      <c r="B529" s="5">
        <f t="shared" si="8"/>
        <v>225</v>
      </c>
      <c r="C529" s="10" t="str">
        <f>DEC2HEX(Table3[[#This Row],[num]]*2,4)</f>
        <v>01C2</v>
      </c>
      <c r="D529" s="11" t="s">
        <v>2545</v>
      </c>
      <c r="E529" s="11" t="s">
        <v>2032</v>
      </c>
      <c r="F529" s="12"/>
      <c r="G529" s="12"/>
      <c r="H529" s="4" t="str">
        <f>CONCATENATE("img",Table3[[#This Row],[name]],"_ofs = $",Table3[[#This Row],[ofs]])</f>
        <v>imgIntroDrunksWalkR_2_ofs = $01C2</v>
      </c>
    </row>
    <row r="530" spans="1:8" x14ac:dyDescent="0.25">
      <c r="A530" s="11" t="s">
        <v>1105</v>
      </c>
      <c r="B530" s="5">
        <f t="shared" si="8"/>
        <v>226</v>
      </c>
      <c r="C530" s="10" t="str">
        <f>DEC2HEX(Table3[[#This Row],[num]]*2,4)</f>
        <v>01C4</v>
      </c>
      <c r="D530" s="11" t="s">
        <v>2546</v>
      </c>
      <c r="E530" s="11" t="s">
        <v>2033</v>
      </c>
      <c r="F530" s="12"/>
      <c r="G530" s="12"/>
      <c r="H530" s="4" t="str">
        <f>CONCATENATE("img",Table3[[#This Row],[name]],"_ofs = $",Table3[[#This Row],[ofs]])</f>
        <v>imgIntroDrunksWalkR_3_ofs = $01C4</v>
      </c>
    </row>
    <row r="531" spans="1:8" x14ac:dyDescent="0.25">
      <c r="A531" s="11" t="s">
        <v>1105</v>
      </c>
      <c r="B531" s="5">
        <f t="shared" si="8"/>
        <v>227</v>
      </c>
      <c r="C531" s="10" t="str">
        <f>DEC2HEX(Table3[[#This Row],[num]]*2,4)</f>
        <v>01C6</v>
      </c>
      <c r="D531" s="11" t="s">
        <v>2547</v>
      </c>
      <c r="E531" s="11" t="s">
        <v>2034</v>
      </c>
      <c r="F531" s="12"/>
      <c r="G531" s="12"/>
      <c r="H531" s="4" t="str">
        <f>CONCATENATE("img",Table3[[#This Row],[name]],"_ofs = $",Table3[[#This Row],[ofs]])</f>
        <v>imgBarcelonL_0_ofs = $01C6</v>
      </c>
    </row>
    <row r="532" spans="1:8" x14ac:dyDescent="0.25">
      <c r="A532" s="11" t="s">
        <v>1105</v>
      </c>
      <c r="B532" s="5">
        <f t="shared" si="8"/>
        <v>228</v>
      </c>
      <c r="C532" s="10" t="str">
        <f>DEC2HEX(Table3[[#This Row],[num]]*2,4)</f>
        <v>01C8</v>
      </c>
      <c r="D532" s="11" t="s">
        <v>2548</v>
      </c>
      <c r="E532" s="11" t="s">
        <v>2035</v>
      </c>
      <c r="F532" s="12"/>
      <c r="G532" s="12"/>
      <c r="H532" s="4" t="str">
        <f>CONCATENATE("img",Table3[[#This Row],[name]],"_ofs = $",Table3[[#This Row],[ofs]])</f>
        <v>imgBarcelonL_1_ofs = $01C8</v>
      </c>
    </row>
    <row r="533" spans="1:8" x14ac:dyDescent="0.25">
      <c r="A533" s="11" t="s">
        <v>1105</v>
      </c>
      <c r="B533" s="5">
        <f t="shared" si="8"/>
        <v>229</v>
      </c>
      <c r="C533" s="10" t="str">
        <f>DEC2HEX(Table3[[#This Row],[num]]*2,4)</f>
        <v>01CA</v>
      </c>
      <c r="D533" s="11" t="s">
        <v>2549</v>
      </c>
      <c r="E533" s="11" t="s">
        <v>2036</v>
      </c>
      <c r="F533" s="12"/>
      <c r="G533" s="12"/>
      <c r="H533" s="4" t="str">
        <f>CONCATENATE("img",Table3[[#This Row],[name]],"_ofs = $",Table3[[#This Row],[ofs]])</f>
        <v>imgBarcelonL_2_ofs = $01CA</v>
      </c>
    </row>
    <row r="534" spans="1:8" x14ac:dyDescent="0.25">
      <c r="A534" s="11" t="s">
        <v>1105</v>
      </c>
      <c r="B534" s="5">
        <f t="shared" si="8"/>
        <v>230</v>
      </c>
      <c r="C534" s="10" t="str">
        <f>DEC2HEX(Table3[[#This Row],[num]]*2,4)</f>
        <v>01CC</v>
      </c>
      <c r="D534" s="11" t="s">
        <v>2550</v>
      </c>
      <c r="E534" s="11" t="s">
        <v>2037</v>
      </c>
      <c r="F534" s="12"/>
      <c r="G534" s="12"/>
      <c r="H534" s="4" t="str">
        <f>CONCATENATE("img",Table3[[#This Row],[name]],"_ofs = $",Table3[[#This Row],[ofs]])</f>
        <v>imgBarcelonLoseL_0_ofs = $01CC</v>
      </c>
    </row>
    <row r="535" spans="1:8" x14ac:dyDescent="0.25">
      <c r="A535" s="11" t="s">
        <v>1105</v>
      </c>
      <c r="B535" s="5">
        <f t="shared" si="8"/>
        <v>231</v>
      </c>
      <c r="C535" s="10" t="str">
        <f>DEC2HEX(Table3[[#This Row],[num]]*2,4)</f>
        <v>01CE</v>
      </c>
      <c r="D535" s="11" t="s">
        <v>2551</v>
      </c>
      <c r="E535" s="11" t="s">
        <v>2038</v>
      </c>
      <c r="F535" s="12"/>
      <c r="G535" s="12"/>
      <c r="H535" s="4" t="str">
        <f>CONCATENATE("img",Table3[[#This Row],[name]],"_ofs = $",Table3[[#This Row],[ofs]])</f>
        <v>imgBarcelonLoseL_1_ofs = $01CE</v>
      </c>
    </row>
    <row r="536" spans="1:8" x14ac:dyDescent="0.25">
      <c r="A536" s="11" t="s">
        <v>1105</v>
      </c>
      <c r="B536" s="5">
        <f t="shared" si="8"/>
        <v>232</v>
      </c>
      <c r="C536" s="10" t="str">
        <f>DEC2HEX(Table3[[#This Row],[num]]*2,4)</f>
        <v>01D0</v>
      </c>
      <c r="D536" s="11" t="s">
        <v>2552</v>
      </c>
      <c r="E536" s="11" t="s">
        <v>2039</v>
      </c>
      <c r="F536" s="12"/>
      <c r="G536" s="12"/>
      <c r="H536" s="4" t="str">
        <f>CONCATENATE("img",Table3[[#This Row],[name]],"_ofs = $",Table3[[#This Row],[ofs]])</f>
        <v>imgBarcelonR_0_ofs = $01D0</v>
      </c>
    </row>
    <row r="537" spans="1:8" x14ac:dyDescent="0.25">
      <c r="A537" s="11" t="s">
        <v>1105</v>
      </c>
      <c r="B537" s="5">
        <f t="shared" si="8"/>
        <v>233</v>
      </c>
      <c r="C537" s="10" t="str">
        <f>DEC2HEX(Table3[[#This Row],[num]]*2,4)</f>
        <v>01D2</v>
      </c>
      <c r="D537" s="11" t="s">
        <v>2553</v>
      </c>
      <c r="E537" s="11" t="s">
        <v>2040</v>
      </c>
      <c r="F537" s="12"/>
      <c r="G537" s="12"/>
      <c r="H537" s="4" t="str">
        <f>CONCATENATE("img",Table3[[#This Row],[name]],"_ofs = $",Table3[[#This Row],[ofs]])</f>
        <v>imgBarcelonR_1_ofs = $01D2</v>
      </c>
    </row>
    <row r="538" spans="1:8" x14ac:dyDescent="0.25">
      <c r="A538" s="11" t="s">
        <v>1105</v>
      </c>
      <c r="B538" s="5">
        <f t="shared" si="8"/>
        <v>234</v>
      </c>
      <c r="C538" s="10" t="str">
        <f>DEC2HEX(Table3[[#This Row],[num]]*2,4)</f>
        <v>01D4</v>
      </c>
      <c r="D538" s="11" t="s">
        <v>2554</v>
      </c>
      <c r="E538" s="11" t="s">
        <v>2041</v>
      </c>
      <c r="F538" s="12"/>
      <c r="G538" s="12"/>
      <c r="H538" s="4" t="str">
        <f>CONCATENATE("img",Table3[[#This Row],[name]],"_ofs = $",Table3[[#This Row],[ofs]])</f>
        <v>imgBarcelonR_2_ofs = $01D4</v>
      </c>
    </row>
    <row r="539" spans="1:8" x14ac:dyDescent="0.25">
      <c r="A539" s="11" t="s">
        <v>1105</v>
      </c>
      <c r="B539" s="5">
        <f t="shared" si="8"/>
        <v>235</v>
      </c>
      <c r="C539" s="10" t="str">
        <f>DEC2HEX(Table3[[#This Row],[num]]*2,4)</f>
        <v>01D6</v>
      </c>
      <c r="D539" s="11" t="s">
        <v>2555</v>
      </c>
      <c r="E539" s="11" t="s">
        <v>2042</v>
      </c>
      <c r="F539" s="12"/>
      <c r="G539" s="12"/>
      <c r="H539" s="4" t="str">
        <f>CONCATENATE("img",Table3[[#This Row],[name]],"_ofs = $",Table3[[#This Row],[ofs]])</f>
        <v>imgBarcelonLoseR_0_ofs = $01D6</v>
      </c>
    </row>
    <row r="540" spans="1:8" x14ac:dyDescent="0.25">
      <c r="A540" s="11" t="s">
        <v>1105</v>
      </c>
      <c r="B540" s="5">
        <f t="shared" si="8"/>
        <v>236</v>
      </c>
      <c r="C540" s="10" t="str">
        <f>DEC2HEX(Table3[[#This Row],[num]]*2,4)</f>
        <v>01D8</v>
      </c>
      <c r="D540" s="11" t="s">
        <v>2556</v>
      </c>
      <c r="E540" s="11" t="s">
        <v>2043</v>
      </c>
      <c r="F540" s="12"/>
      <c r="G540" s="12"/>
      <c r="H540" s="4" t="str">
        <f>CONCATENATE("img",Table3[[#This Row],[name]],"_ofs = $",Table3[[#This Row],[ofs]])</f>
        <v>imgBarcelonLoseR_1_ofs = $01D8</v>
      </c>
    </row>
    <row r="541" spans="1:8" x14ac:dyDescent="0.25">
      <c r="A541" s="11" t="s">
        <v>1105</v>
      </c>
      <c r="B541" s="5">
        <f t="shared" si="8"/>
        <v>237</v>
      </c>
      <c r="C541" s="10" t="str">
        <f>DEC2HEX(Table3[[#This Row],[num]]*2,4)</f>
        <v>01DA</v>
      </c>
      <c r="D541" s="11" t="s">
        <v>2557</v>
      </c>
      <c r="E541" s="11" t="s">
        <v>1061</v>
      </c>
      <c r="F541" s="12"/>
      <c r="G541" s="12"/>
      <c r="H541" s="4" t="str">
        <f>CONCATENATE("img",Table3[[#This Row],[name]],"_ofs = $",Table3[[#This Row],[ofs]])</f>
        <v>imgJudyR_ofs = $01DA</v>
      </c>
    </row>
    <row r="542" spans="1:8" x14ac:dyDescent="0.25">
      <c r="A542" s="11" t="s">
        <v>1105</v>
      </c>
      <c r="B542" s="5">
        <f t="shared" si="8"/>
        <v>238</v>
      </c>
      <c r="C542" s="10" t="str">
        <f>DEC2HEX(Table3[[#This Row],[num]]*2,4)</f>
        <v>01DC</v>
      </c>
      <c r="D542" s="11" t="s">
        <v>2558</v>
      </c>
      <c r="E542" s="11" t="s">
        <v>2044</v>
      </c>
      <c r="F542" s="12"/>
      <c r="G542" s="12"/>
      <c r="H542" s="4" t="str">
        <f>CONCATENATE("img",Table3[[#This Row],[name]],"_ofs = $",Table3[[#This Row],[ofs]])</f>
        <v>imgJudyWalkR_1_ofs = $01DC</v>
      </c>
    </row>
    <row r="543" spans="1:8" x14ac:dyDescent="0.25">
      <c r="A543" s="11" t="s">
        <v>1105</v>
      </c>
      <c r="B543" s="5">
        <f t="shared" si="8"/>
        <v>239</v>
      </c>
      <c r="C543" s="10" t="str">
        <f>DEC2HEX(Table3[[#This Row],[num]]*2,4)</f>
        <v>01DE</v>
      </c>
      <c r="D543" s="11" t="s">
        <v>2559</v>
      </c>
      <c r="E543" s="11" t="s">
        <v>1067</v>
      </c>
      <c r="F543" s="12"/>
      <c r="G543" s="12"/>
      <c r="H543" s="4" t="str">
        <f>CONCATENATE("img",Table3[[#This Row],[name]],"_ofs = $",Table3[[#This Row],[ofs]])</f>
        <v>imgAnnounceRound_ofs = $01DE</v>
      </c>
    </row>
    <row r="544" spans="1:8" x14ac:dyDescent="0.25">
      <c r="A544" s="11" t="s">
        <v>1105</v>
      </c>
      <c r="B544" s="5">
        <f t="shared" si="8"/>
        <v>240</v>
      </c>
      <c r="C544" s="10" t="str">
        <f>DEC2HEX(Table3[[#This Row],[num]]*2,4)</f>
        <v>01E0</v>
      </c>
      <c r="D544" s="11" t="s">
        <v>2560</v>
      </c>
      <c r="E544" s="11" t="s">
        <v>1068</v>
      </c>
      <c r="F544" s="12"/>
      <c r="G544" s="12"/>
      <c r="H544" s="4" t="str">
        <f>CONCATENATE("img",Table3[[#This Row],[name]],"_ofs = $",Table3[[#This Row],[ofs]])</f>
        <v>imgAnnounceClear_ofs = $01E0</v>
      </c>
    </row>
    <row r="545" spans="1:8" x14ac:dyDescent="0.25">
      <c r="A545" s="11" t="s">
        <v>1105</v>
      </c>
      <c r="B545" s="5">
        <f t="shared" si="8"/>
        <v>241</v>
      </c>
      <c r="C545" s="10" t="str">
        <f>DEC2HEX(Table3[[#This Row],[num]]*2,4)</f>
        <v>01E2</v>
      </c>
      <c r="D545" s="11" t="s">
        <v>2561</v>
      </c>
      <c r="E545" s="11" t="s">
        <v>1069</v>
      </c>
      <c r="F545" s="12"/>
      <c r="G545" s="12"/>
      <c r="H545" s="4" t="str">
        <f>CONCATENATE("img",Table3[[#This Row],[name]],"_ofs = $",Table3[[#This Row],[ofs]])</f>
        <v>imgAnnounceBonus_ofs = $01E2</v>
      </c>
    </row>
    <row r="546" spans="1:8" x14ac:dyDescent="0.25">
      <c r="A546" s="11" t="s">
        <v>1105</v>
      </c>
      <c r="B546" s="5">
        <f t="shared" si="8"/>
        <v>242</v>
      </c>
      <c r="C546" s="10" t="str">
        <f>DEC2HEX(Table3[[#This Row],[num]]*2,4)</f>
        <v>01E4</v>
      </c>
      <c r="D546" s="11" t="s">
        <v>2562</v>
      </c>
      <c r="E546" s="11" t="s">
        <v>1070</v>
      </c>
      <c r="F546" s="12"/>
      <c r="G546" s="12"/>
      <c r="H546" s="4" t="str">
        <f>CONCATENATE("img",Table3[[#This Row],[name]],"_ofs = $",Table3[[#This Row],[ofs]])</f>
        <v>imgAnnounceGame_ofs = $01E4</v>
      </c>
    </row>
    <row r="547" spans="1:8" x14ac:dyDescent="0.25">
      <c r="A547" s="11" t="s">
        <v>1105</v>
      </c>
      <c r="B547" s="5">
        <f t="shared" si="8"/>
        <v>243</v>
      </c>
      <c r="C547" s="10" t="str">
        <f>DEC2HEX(Table3[[#This Row],[num]]*2,4)</f>
        <v>01E6</v>
      </c>
      <c r="D547" s="11" t="s">
        <v>2563</v>
      </c>
      <c r="E547" s="11" t="s">
        <v>1071</v>
      </c>
      <c r="F547" s="12"/>
      <c r="G547" s="12"/>
      <c r="H547" s="4" t="str">
        <f>CONCATENATE("img",Table3[[#This Row],[name]],"_ofs = $",Table3[[#This Row],[ofs]])</f>
        <v>imgAnnounceNo_ofs = $01E6</v>
      </c>
    </row>
    <row r="548" spans="1:8" x14ac:dyDescent="0.25">
      <c r="A548" s="11" t="s">
        <v>1105</v>
      </c>
      <c r="B548" s="5">
        <f t="shared" si="8"/>
        <v>244</v>
      </c>
      <c r="C548" s="10" t="str">
        <f>DEC2HEX(Table3[[#This Row],[num]]*2,4)</f>
        <v>01E8</v>
      </c>
      <c r="D548" s="11" t="s">
        <v>2564</v>
      </c>
      <c r="E548" s="11" t="s">
        <v>1072</v>
      </c>
      <c r="F548" s="12"/>
      <c r="G548" s="12"/>
      <c r="H548" s="4" t="str">
        <f>CONCATENATE("img",Table3[[#This Row],[name]],"_ofs = $",Table3[[#This Row],[ofs]])</f>
        <v>imgAnnouncePause_ofs = $01E8</v>
      </c>
    </row>
    <row r="549" spans="1:8" x14ac:dyDescent="0.25">
      <c r="A549" s="11" t="s">
        <v>1105</v>
      </c>
      <c r="B549" s="5">
        <f t="shared" si="8"/>
        <v>245</v>
      </c>
      <c r="C549" s="10" t="str">
        <f>DEC2HEX(Table3[[#This Row],[num]]*2,4)</f>
        <v>01EA</v>
      </c>
      <c r="D549" s="11" t="s">
        <v>2565</v>
      </c>
      <c r="E549" s="11" t="s">
        <v>1073</v>
      </c>
      <c r="F549" s="12"/>
      <c r="G549" s="12"/>
      <c r="H549" s="4" t="str">
        <f>CONCATENATE("img",Table3[[#This Row],[name]],"_ofs = $",Table3[[#This Row],[ofs]])</f>
        <v>imgAnnounceTheEnd_ofs = $01EA</v>
      </c>
    </row>
    <row r="550" spans="1:8" x14ac:dyDescent="0.25">
      <c r="A550" s="11" t="s">
        <v>1105</v>
      </c>
      <c r="B550" s="5">
        <f t="shared" si="8"/>
        <v>246</v>
      </c>
      <c r="C550" s="10" t="str">
        <f>DEC2HEX(Table3[[#This Row],[num]]*2,4)</f>
        <v>01EC</v>
      </c>
      <c r="D550" s="11" t="s">
        <v>2566</v>
      </c>
      <c r="E550" s="11" t="s">
        <v>1074</v>
      </c>
      <c r="F550" s="12"/>
      <c r="G550" s="12"/>
      <c r="H550" s="4" t="str">
        <f>CONCATENATE("img",Table3[[#This Row],[name]],"_ofs = $",Table3[[#This Row],[ofs]])</f>
        <v>imgAnnounce0_ofs = $01EC</v>
      </c>
    </row>
    <row r="551" spans="1:8" x14ac:dyDescent="0.25">
      <c r="A551" s="11" t="s">
        <v>1105</v>
      </c>
      <c r="B551" s="5">
        <f t="shared" si="8"/>
        <v>247</v>
      </c>
      <c r="C551" s="10" t="str">
        <f>DEC2HEX(Table3[[#This Row],[num]]*2,4)</f>
        <v>01EE</v>
      </c>
      <c r="D551" s="11" t="s">
        <v>2567</v>
      </c>
      <c r="E551" s="11" t="s">
        <v>1075</v>
      </c>
      <c r="F551" s="12"/>
      <c r="G551" s="12"/>
      <c r="H551" s="4" t="str">
        <f>CONCATENATE("img",Table3[[#This Row],[name]],"_ofs = $",Table3[[#This Row],[ofs]])</f>
        <v>imgAnnounce1_ofs = $01EE</v>
      </c>
    </row>
    <row r="552" spans="1:8" x14ac:dyDescent="0.25">
      <c r="A552" s="11" t="s">
        <v>1105</v>
      </c>
      <c r="B552" s="5">
        <f t="shared" si="8"/>
        <v>248</v>
      </c>
      <c r="C552" s="10" t="str">
        <f>DEC2HEX(Table3[[#This Row],[num]]*2,4)</f>
        <v>01F0</v>
      </c>
      <c r="D552" s="11" t="s">
        <v>2568</v>
      </c>
      <c r="E552" s="11" t="s">
        <v>1076</v>
      </c>
      <c r="F552" s="12"/>
      <c r="G552" s="12"/>
      <c r="H552" s="4" t="str">
        <f>CONCATENATE("img",Table3[[#This Row],[name]],"_ofs = $",Table3[[#This Row],[ofs]])</f>
        <v>imgAnnounce2_ofs = $01F0</v>
      </c>
    </row>
    <row r="553" spans="1:8" x14ac:dyDescent="0.25">
      <c r="A553" s="11" t="s">
        <v>1105</v>
      </c>
      <c r="B553" s="5">
        <f t="shared" si="8"/>
        <v>249</v>
      </c>
      <c r="C553" s="10" t="str">
        <f>DEC2HEX(Table3[[#This Row],[num]]*2,4)</f>
        <v>01F2</v>
      </c>
      <c r="D553" s="11" t="s">
        <v>2569</v>
      </c>
      <c r="E553" s="11" t="s">
        <v>1077</v>
      </c>
      <c r="F553" s="12"/>
      <c r="G553" s="12"/>
      <c r="H553" s="4" t="str">
        <f>CONCATENATE("img",Table3[[#This Row],[name]],"_ofs = $",Table3[[#This Row],[ofs]])</f>
        <v>imgAnnounce3_ofs = $01F2</v>
      </c>
    </row>
    <row r="554" spans="1:8" x14ac:dyDescent="0.25">
      <c r="A554" s="11" t="s">
        <v>1105</v>
      </c>
      <c r="B554" s="5">
        <f t="shared" si="8"/>
        <v>250</v>
      </c>
      <c r="C554" s="10" t="str">
        <f>DEC2HEX(Table3[[#This Row],[num]]*2,4)</f>
        <v>01F4</v>
      </c>
      <c r="D554" s="11" t="s">
        <v>2570</v>
      </c>
      <c r="E554" s="11" t="s">
        <v>1078</v>
      </c>
      <c r="F554" s="12"/>
      <c r="G554" s="12"/>
      <c r="H554" s="4" t="str">
        <f>CONCATENATE("img",Table3[[#This Row],[name]],"_ofs = $",Table3[[#This Row],[ofs]])</f>
        <v>imgAnnounce4_ofs = $01F4</v>
      </c>
    </row>
    <row r="555" spans="1:8" x14ac:dyDescent="0.25">
      <c r="A555" s="11" t="s">
        <v>1105</v>
      </c>
      <c r="B555" s="5">
        <f t="shared" si="8"/>
        <v>251</v>
      </c>
      <c r="C555" s="10" t="str">
        <f>DEC2HEX(Table3[[#This Row],[num]]*2,4)</f>
        <v>01F6</v>
      </c>
      <c r="D555" s="11" t="s">
        <v>2571</v>
      </c>
      <c r="E555" s="11" t="s">
        <v>1079</v>
      </c>
      <c r="F555" s="12"/>
      <c r="G555" s="12"/>
      <c r="H555" s="4" t="str">
        <f>CONCATENATE("img",Table3[[#This Row],[name]],"_ofs = $",Table3[[#This Row],[ofs]])</f>
        <v>imgAnnounce5_ofs = $01F6</v>
      </c>
    </row>
    <row r="556" spans="1:8" x14ac:dyDescent="0.25">
      <c r="A556" s="11" t="s">
        <v>1105</v>
      </c>
      <c r="B556" s="5">
        <f t="shared" si="8"/>
        <v>252</v>
      </c>
      <c r="C556" s="10" t="str">
        <f>DEC2HEX(Table3[[#This Row],[num]]*2,4)</f>
        <v>01F8</v>
      </c>
      <c r="D556" s="11" t="s">
        <v>2572</v>
      </c>
      <c r="E556" s="11" t="s">
        <v>1080</v>
      </c>
      <c r="F556" s="12"/>
      <c r="G556" s="12"/>
      <c r="H556" s="4" t="str">
        <f>CONCATENATE("img",Table3[[#This Row],[name]],"_ofs = $",Table3[[#This Row],[ofs]])</f>
        <v>imgAnnounce6_ofs = $01F8</v>
      </c>
    </row>
    <row r="557" spans="1:8" x14ac:dyDescent="0.25">
      <c r="A557" s="11" t="s">
        <v>1105</v>
      </c>
      <c r="B557" s="5">
        <f t="shared" si="8"/>
        <v>253</v>
      </c>
      <c r="C557" s="10" t="str">
        <f>DEC2HEX(Table3[[#This Row],[num]]*2,4)</f>
        <v>01FA</v>
      </c>
      <c r="D557" s="11" t="s">
        <v>2573</v>
      </c>
      <c r="E557" s="11" t="s">
        <v>1081</v>
      </c>
      <c r="F557" s="12"/>
      <c r="G557" s="12"/>
      <c r="H557" s="4" t="str">
        <f>CONCATENATE("img",Table3[[#This Row],[name]],"_ofs = $",Table3[[#This Row],[ofs]])</f>
        <v>imgAnnounce7_ofs = $01FA</v>
      </c>
    </row>
    <row r="558" spans="1:8" x14ac:dyDescent="0.25">
      <c r="A558" s="11" t="s">
        <v>1105</v>
      </c>
      <c r="B558" s="5">
        <f t="shared" si="8"/>
        <v>254</v>
      </c>
      <c r="C558" s="10" t="str">
        <f>DEC2HEX(Table3[[#This Row],[num]]*2,4)</f>
        <v>01FC</v>
      </c>
      <c r="D558" s="11" t="s">
        <v>2574</v>
      </c>
      <c r="E558" s="11" t="s">
        <v>1082</v>
      </c>
      <c r="F558" s="12"/>
      <c r="G558" s="12"/>
      <c r="H558" s="4" t="str">
        <f>CONCATENATE("img",Table3[[#This Row],[name]],"_ofs = $",Table3[[#This Row],[ofs]])</f>
        <v>imgAnnounce8_ofs = $01FC</v>
      </c>
    </row>
    <row r="559" spans="1:8" x14ac:dyDescent="0.25">
      <c r="A559" s="11" t="s">
        <v>1105</v>
      </c>
      <c r="B559" s="5">
        <f t="shared" si="8"/>
        <v>255</v>
      </c>
      <c r="C559" s="10" t="str">
        <f>DEC2HEX(Table3[[#This Row],[num]]*2,4)</f>
        <v>01FE</v>
      </c>
      <c r="D559" s="11" t="s">
        <v>2575</v>
      </c>
      <c r="E559" s="11" t="s">
        <v>1083</v>
      </c>
      <c r="F559" s="12"/>
      <c r="G559" s="12"/>
      <c r="H559" s="4" t="str">
        <f>CONCATENATE("img",Table3[[#This Row],[name]],"_ofs = $",Table3[[#This Row],[ofs]])</f>
        <v>imgAnnounce9_ofs = $01FE</v>
      </c>
    </row>
    <row r="560" spans="1:8" x14ac:dyDescent="0.25">
      <c r="A560" s="11" t="s">
        <v>1099</v>
      </c>
      <c r="B560" s="13"/>
      <c r="C560" s="14"/>
      <c r="D560" s="15" t="s">
        <v>2577</v>
      </c>
      <c r="E560" s="15" t="s">
        <v>2582</v>
      </c>
      <c r="F560" s="16" t="s">
        <v>2576</v>
      </c>
      <c r="G560" s="17"/>
      <c r="H560" s="18" t="str">
        <f>CONCATENATE("img",Table3[[#This Row],[name]])</f>
        <v>imgUnlisted_04B421</v>
      </c>
    </row>
    <row r="561" spans="1:8" x14ac:dyDescent="0.25">
      <c r="A561" s="19" t="s">
        <v>1105</v>
      </c>
      <c r="B561" s="13"/>
      <c r="C561" s="14"/>
      <c r="D561" s="15" t="s">
        <v>2578</v>
      </c>
      <c r="E561" s="15" t="s">
        <v>2583</v>
      </c>
      <c r="F561" s="16" t="s">
        <v>2576</v>
      </c>
      <c r="G561" s="17"/>
      <c r="H561" s="18" t="str">
        <f>CONCATENATE("img",Table3[[#This Row],[name]])</f>
        <v>imgUnlisted_0AA29C</v>
      </c>
    </row>
    <row r="562" spans="1:8" x14ac:dyDescent="0.25">
      <c r="A562" s="19" t="s">
        <v>1105</v>
      </c>
      <c r="B562" s="13"/>
      <c r="C562" s="14"/>
      <c r="D562" s="15" t="s">
        <v>2587</v>
      </c>
      <c r="E562" s="15" t="s">
        <v>2588</v>
      </c>
      <c r="F562" s="16" t="s">
        <v>2576</v>
      </c>
      <c r="G562" s="17"/>
      <c r="H562" s="18" t="str">
        <f>CONCATENATE("img",Table3[[#This Row],[name]])</f>
        <v>imgUnlisted_0AA2BD</v>
      </c>
    </row>
    <row r="563" spans="1:8" x14ac:dyDescent="0.25">
      <c r="A563" s="19" t="s">
        <v>1105</v>
      </c>
      <c r="B563" s="13"/>
      <c r="C563" s="14"/>
      <c r="D563" s="15" t="s">
        <v>2579</v>
      </c>
      <c r="E563" s="15" t="s">
        <v>2584</v>
      </c>
      <c r="F563" s="16" t="s">
        <v>2576</v>
      </c>
      <c r="G563" s="17"/>
      <c r="H563" s="18" t="str">
        <f>CONCATENATE("img",Table3[[#This Row],[name]])</f>
        <v>imgUnlisted_0AA72C</v>
      </c>
    </row>
    <row r="564" spans="1:8" x14ac:dyDescent="0.25">
      <c r="A564" s="19" t="s">
        <v>1105</v>
      </c>
      <c r="B564" s="13"/>
      <c r="C564" s="14"/>
      <c r="D564" s="15" t="s">
        <v>2580</v>
      </c>
      <c r="E564" s="15" t="s">
        <v>2585</v>
      </c>
      <c r="F564" s="16" t="s">
        <v>2576</v>
      </c>
      <c r="G564" s="17"/>
      <c r="H564" s="18" t="str">
        <f>CONCATENATE("img",Table3[[#This Row],[name]])</f>
        <v>imgUnlisted_0AA769</v>
      </c>
    </row>
    <row r="565" spans="1:8" x14ac:dyDescent="0.25">
      <c r="A565" s="19" t="s">
        <v>1105</v>
      </c>
      <c r="B565" s="13"/>
      <c r="C565" s="14"/>
      <c r="D565" s="15" t="s">
        <v>2581</v>
      </c>
      <c r="E565" s="15" t="s">
        <v>2586</v>
      </c>
      <c r="F565" s="16" t="s">
        <v>2576</v>
      </c>
      <c r="G565" s="17"/>
      <c r="H565" s="18" t="str">
        <f>CONCATENATE("img",Table3[[#This Row],[name]])</f>
        <v>imgUnlisted_0AA7A6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</vt:lpstr>
      <vt:lpstr>Img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2026-02-10T19:34:50Z</dcterms:created>
  <dcterms:modified xsi:type="dcterms:W3CDTF">2026-02-22T01:03:16Z</dcterms:modified>
</cp:coreProperties>
</file>