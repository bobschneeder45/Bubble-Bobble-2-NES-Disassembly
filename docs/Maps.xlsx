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ESDEV\dis\Bub2Dis\docs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B106" i="1"/>
  <c r="A106" i="1"/>
  <c r="B105" i="1"/>
  <c r="A105" i="1"/>
  <c r="B104" i="1"/>
  <c r="A104" i="1"/>
  <c r="B103" i="1"/>
  <c r="A103" i="1"/>
  <c r="B102" i="1"/>
  <c r="A102" i="1"/>
  <c r="B101" i="1"/>
  <c r="A101" i="1"/>
  <c r="B100" i="1"/>
  <c r="A100" i="1"/>
  <c r="B99" i="1"/>
  <c r="A99" i="1"/>
  <c r="B98" i="1"/>
  <c r="A98" i="1"/>
  <c r="B97" i="1"/>
  <c r="A97" i="1"/>
  <c r="B96" i="1"/>
  <c r="A96" i="1"/>
  <c r="B95" i="1"/>
  <c r="A95" i="1"/>
  <c r="B94" i="1"/>
  <c r="A94" i="1"/>
  <c r="B93" i="1"/>
  <c r="A93" i="1"/>
  <c r="B92" i="1"/>
  <c r="A92" i="1"/>
  <c r="B91" i="1"/>
  <c r="A91" i="1"/>
  <c r="B90" i="1"/>
  <c r="A90" i="1"/>
  <c r="B89" i="1"/>
  <c r="A89" i="1"/>
  <c r="B88" i="1"/>
  <c r="A88" i="1"/>
  <c r="B87" i="1"/>
  <c r="A87" i="1"/>
  <c r="B86" i="1"/>
  <c r="A86" i="1"/>
  <c r="B85" i="1"/>
  <c r="A85" i="1"/>
  <c r="B84" i="1"/>
  <c r="A84" i="1"/>
  <c r="B83" i="1"/>
  <c r="A83" i="1"/>
  <c r="B82" i="1"/>
  <c r="A82" i="1"/>
  <c r="B81" i="1"/>
  <c r="A81" i="1"/>
  <c r="B80" i="1"/>
  <c r="A80" i="1"/>
  <c r="B79" i="1"/>
  <c r="A79" i="1"/>
  <c r="B78" i="1"/>
  <c r="A78" i="1"/>
  <c r="B77" i="1"/>
  <c r="A77" i="1"/>
  <c r="B76" i="1"/>
  <c r="A76" i="1"/>
  <c r="B75" i="1"/>
  <c r="A75" i="1"/>
  <c r="B74" i="1"/>
  <c r="A74" i="1"/>
  <c r="B73" i="1"/>
  <c r="A73" i="1"/>
  <c r="B72" i="1"/>
  <c r="A72" i="1"/>
  <c r="B71" i="1"/>
  <c r="A71" i="1"/>
  <c r="B70" i="1"/>
  <c r="A70" i="1"/>
  <c r="B69" i="1"/>
  <c r="A69" i="1"/>
  <c r="B68" i="1"/>
  <c r="A68" i="1"/>
  <c r="B67" i="1"/>
  <c r="A67" i="1"/>
  <c r="B66" i="1"/>
  <c r="A66" i="1"/>
  <c r="B65" i="1"/>
  <c r="A65" i="1"/>
  <c r="B64" i="1"/>
  <c r="A64" i="1"/>
  <c r="B63" i="1"/>
  <c r="A63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B2" i="1"/>
  <c r="A2" i="1"/>
</calcChain>
</file>

<file path=xl/sharedStrings.xml><?xml version="1.0" encoding="utf-8"?>
<sst xmlns="http://schemas.openxmlformats.org/spreadsheetml/2006/main" count="110" uniqueCount="110">
  <si>
    <t>mapBlank</t>
  </si>
  <si>
    <t>mapTaito</t>
  </si>
  <si>
    <t>mapTitle</t>
  </si>
  <si>
    <t>mapOpeningSkulls</t>
  </si>
  <si>
    <t>mapOpeningTree</t>
  </si>
  <si>
    <t>mapRound01</t>
  </si>
  <si>
    <t>mapRound02</t>
  </si>
  <si>
    <t>mapRound03</t>
  </si>
  <si>
    <t>mapRound04</t>
  </si>
  <si>
    <t>mapRound05</t>
  </si>
  <si>
    <t>mapRound06</t>
  </si>
  <si>
    <t>mapRound07</t>
  </si>
  <si>
    <t>mapRound08</t>
  </si>
  <si>
    <t>mapRound09</t>
  </si>
  <si>
    <t>mapRound10</t>
  </si>
  <si>
    <t>mapRound11</t>
  </si>
  <si>
    <t>mapRound12</t>
  </si>
  <si>
    <t>mapRound13</t>
  </si>
  <si>
    <t>mapRound14</t>
  </si>
  <si>
    <t>mapRound15</t>
  </si>
  <si>
    <t>mapRound16</t>
  </si>
  <si>
    <t>mapRound17</t>
  </si>
  <si>
    <t>mapRound18</t>
  </si>
  <si>
    <t>mapRound19</t>
  </si>
  <si>
    <t>mapRound20</t>
  </si>
  <si>
    <t>mapRound21</t>
  </si>
  <si>
    <t>mapRound22</t>
  </si>
  <si>
    <t>mapRound23</t>
  </si>
  <si>
    <t>mapRound24</t>
  </si>
  <si>
    <t>mapRound25</t>
  </si>
  <si>
    <t>mapRound26</t>
  </si>
  <si>
    <t>mapRound27</t>
  </si>
  <si>
    <t>mapRound28</t>
  </si>
  <si>
    <t>mapRound29</t>
  </si>
  <si>
    <t>mapRound30</t>
  </si>
  <si>
    <t>mapRound31</t>
  </si>
  <si>
    <t>mapRound32</t>
  </si>
  <si>
    <t>mapRound33</t>
  </si>
  <si>
    <t>mapRound34</t>
  </si>
  <si>
    <t>mapRound35</t>
  </si>
  <si>
    <t>mapRound36</t>
  </si>
  <si>
    <t>mapRound37</t>
  </si>
  <si>
    <t>mapRound38</t>
  </si>
  <si>
    <t>mapRound39</t>
  </si>
  <si>
    <t>mapRound40</t>
  </si>
  <si>
    <t>mapRound41</t>
  </si>
  <si>
    <t>mapRound42</t>
  </si>
  <si>
    <t>mapRound43</t>
  </si>
  <si>
    <t>mapRound44</t>
  </si>
  <si>
    <t>mapRound45</t>
  </si>
  <si>
    <t>mapRound46</t>
  </si>
  <si>
    <t>mapRound47</t>
  </si>
  <si>
    <t>mapRound48</t>
  </si>
  <si>
    <t>mapRound49</t>
  </si>
  <si>
    <t>mapRound50</t>
  </si>
  <si>
    <t>mapRound51</t>
  </si>
  <si>
    <t>mapRound52</t>
  </si>
  <si>
    <t>mapRound53</t>
  </si>
  <si>
    <t>mapRound54</t>
  </si>
  <si>
    <t>mapRound55</t>
  </si>
  <si>
    <t>mapRound56</t>
  </si>
  <si>
    <t>mapRound57</t>
  </si>
  <si>
    <t>mapRound58</t>
  </si>
  <si>
    <t>mapRound59</t>
  </si>
  <si>
    <t>mapRound60</t>
  </si>
  <si>
    <t>mapRound61</t>
  </si>
  <si>
    <t>mapRound62</t>
  </si>
  <si>
    <t>mapRound63</t>
  </si>
  <si>
    <t>mapRound64</t>
  </si>
  <si>
    <t>mapRound65</t>
  </si>
  <si>
    <t>mapRound66</t>
  </si>
  <si>
    <t>mapRound67</t>
  </si>
  <si>
    <t>mapRound68</t>
  </si>
  <si>
    <t>mapRound69</t>
  </si>
  <si>
    <t>mapRound70</t>
  </si>
  <si>
    <t>mapRound71</t>
  </si>
  <si>
    <t>mapRound72</t>
  </si>
  <si>
    <t>mapRound73</t>
  </si>
  <si>
    <t>mapRound74</t>
  </si>
  <si>
    <t>mapRound75</t>
  </si>
  <si>
    <t>mapRound76</t>
  </si>
  <si>
    <t>mapRound77</t>
  </si>
  <si>
    <t>mapRound78</t>
  </si>
  <si>
    <t>mapRound79</t>
  </si>
  <si>
    <t>mapRound80</t>
  </si>
  <si>
    <t>mapUNK55</t>
  </si>
  <si>
    <t>mapTractor</t>
  </si>
  <si>
    <t>mapShoeR</t>
  </si>
  <si>
    <t>mapShoeL</t>
  </si>
  <si>
    <t>mapContinue</t>
  </si>
  <si>
    <t>mapFanL</t>
  </si>
  <si>
    <t>mapFanR</t>
  </si>
  <si>
    <t>mapBonus1</t>
  </si>
  <si>
    <t>mapBonus2</t>
  </si>
  <si>
    <t>mapBonus3</t>
  </si>
  <si>
    <t>mapAdventure1</t>
  </si>
  <si>
    <t>mapAdventure2</t>
  </si>
  <si>
    <t>mapOpeningStage</t>
  </si>
  <si>
    <t>mapFloodA</t>
  </si>
  <si>
    <t>mapFloodB</t>
  </si>
  <si>
    <t>mapFloodC</t>
  </si>
  <si>
    <t>mapRound20B</t>
  </si>
  <si>
    <t>mapEnding</t>
  </si>
  <si>
    <t>mapRound40B</t>
  </si>
  <si>
    <t>mapGameOver</t>
  </si>
  <si>
    <t>id</t>
  </si>
  <si>
    <t>idh</t>
  </si>
  <si>
    <t>name</t>
  </si>
  <si>
    <t>asm</t>
  </si>
  <si>
    <t>asm2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</si>
</sst>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106" totalsRowShown="0" dataDxfId="2">
  <autoFilter ref="A1:E106"/>
  <tableColumns count="5">
    <tableColumn id="1" name="id" dataDxfId="5">
      <calculatedColumnFormula>ROW()-2</calculatedColumnFormula>
    </tableColumn>
    <tableColumn id="2" name="idh" dataDxfId="4">
      <calculatedColumnFormula>DEC2HEX(ROW()-2,2)</calculatedColumnFormula>
    </tableColumn>
    <tableColumn id="3" name="name" dataDxfId="3"/>
    <tableColumn id="4" name="asm" dataDxfId="1">
      <calculatedColumnFormula>CONCATENATE(C2,"_ID = $",Table1[[#This Row],[idh]])</calculatedColumnFormula>
    </tableColumn>
    <tableColumn id="5" name="asm2" dataDxfId="0">
      <calculatedColumnFormula>CONCATENATE(Table1[[#This Row],[name]],"_ID")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"/>
  <sheetViews>
    <sheetView tabSelected="1" workbookViewId="0">
      <selection activeCell="E2" sqref="E2"/>
    </sheetView>
  </sheetViews>
  <sheetFormatPr defaultRowHeight="15" x14ac:dyDescent="0.25"/>
  <cols>
    <col min="3" max="3" width="19.5703125" customWidth="1"/>
    <col min="4" max="4" width="25.5703125" customWidth="1"/>
    <col min="5" max="5" width="25.85546875" customWidth="1"/>
  </cols>
  <sheetData>
    <row r="1" spans="1:5" x14ac:dyDescent="0.25">
      <c r="A1" t="s">
        <v>105</v>
      </c>
      <c r="B1" t="s">
        <v>106</v>
      </c>
      <c r="C1" t="s">
        <v>107</v>
      </c>
      <c r="D1" t="s">
        <v>108</v>
      </c>
      <c r="E1" t="s">
        <v>109</v>
      </c>
    </row>
    <row r="2" spans="1:5" x14ac:dyDescent="0.25">
      <c r="A2" s="1">
        <f>ROW()-2</f>
        <v>0</v>
      </c>
      <c r="B2" s="1" t="str">
        <f>DEC2HEX(ROW()-2,2)</f>
        <v>00</v>
      </c>
      <c r="C2" s="1" t="s">
        <v>0</v>
      </c>
      <c r="D2" s="1" t="str">
        <f>CONCATENATE(C2,"_ID = $",Table1[[#This Row],[idh]])</f>
        <v>mapBlank_ID = $00</v>
      </c>
      <c r="E2" s="1" t="str">
        <f>CONCATENATE(Table1[[#This Row],[name]],"_ID")</f>
        <v>mapBlank_ID</v>
      </c>
    </row>
    <row r="3" spans="1:5" x14ac:dyDescent="0.25">
      <c r="A3" s="1">
        <f t="shared" ref="A3:A66" si="0">ROW()-2</f>
        <v>1</v>
      </c>
      <c r="B3" s="1" t="str">
        <f t="shared" ref="B3:B66" si="1">DEC2HEX(ROW()-2,2)</f>
        <v>01</v>
      </c>
      <c r="C3" s="1" t="s">
        <v>1</v>
      </c>
      <c r="D3" s="1" t="str">
        <f>CONCATENATE(C3,"_ID = $",Table1[[#This Row],[idh]])</f>
        <v>mapTaito_ID = $01</v>
      </c>
      <c r="E3" s="1" t="str">
        <f>CONCATENATE(Table1[[#This Row],[name]],"_ID")</f>
        <v>mapTaito_ID</v>
      </c>
    </row>
    <row r="4" spans="1:5" x14ac:dyDescent="0.25">
      <c r="A4" s="1">
        <f t="shared" si="0"/>
        <v>2</v>
      </c>
      <c r="B4" s="1" t="str">
        <f t="shared" si="1"/>
        <v>02</v>
      </c>
      <c r="C4" s="1" t="s">
        <v>2</v>
      </c>
      <c r="D4" s="1" t="str">
        <f>CONCATENATE(C4,"_ID = $",Table1[[#This Row],[idh]])</f>
        <v>mapTitle_ID = $02</v>
      </c>
      <c r="E4" s="1" t="str">
        <f>CONCATENATE(Table1[[#This Row],[name]],"_ID")</f>
        <v>mapTitle_ID</v>
      </c>
    </row>
    <row r="5" spans="1:5" x14ac:dyDescent="0.25">
      <c r="A5" s="1">
        <f t="shared" si="0"/>
        <v>3</v>
      </c>
      <c r="B5" s="1" t="str">
        <f t="shared" si="1"/>
        <v>03</v>
      </c>
      <c r="C5" s="1" t="s">
        <v>3</v>
      </c>
      <c r="D5" s="1" t="str">
        <f>CONCATENATE(C5,"_ID = $",Table1[[#This Row],[idh]])</f>
        <v>mapOpeningSkulls_ID = $03</v>
      </c>
      <c r="E5" s="1" t="str">
        <f>CONCATENATE(Table1[[#This Row],[name]],"_ID")</f>
        <v>mapOpeningSkulls_ID</v>
      </c>
    </row>
    <row r="6" spans="1:5" x14ac:dyDescent="0.25">
      <c r="A6" s="1">
        <f t="shared" si="0"/>
        <v>4</v>
      </c>
      <c r="B6" s="1" t="str">
        <f t="shared" si="1"/>
        <v>04</v>
      </c>
      <c r="C6" s="1" t="s">
        <v>4</v>
      </c>
      <c r="D6" s="1" t="str">
        <f>CONCATENATE(C6,"_ID = $",Table1[[#This Row],[idh]])</f>
        <v>mapOpeningTree_ID = $04</v>
      </c>
      <c r="E6" s="1" t="str">
        <f>CONCATENATE(Table1[[#This Row],[name]],"_ID")</f>
        <v>mapOpeningTree_ID</v>
      </c>
    </row>
    <row r="7" spans="1:5" x14ac:dyDescent="0.25">
      <c r="A7" s="1">
        <f t="shared" si="0"/>
        <v>5</v>
      </c>
      <c r="B7" s="1" t="str">
        <f t="shared" si="1"/>
        <v>05</v>
      </c>
      <c r="C7" s="1" t="s">
        <v>5</v>
      </c>
      <c r="D7" s="1" t="str">
        <f>CONCATENATE(C7,"_ID = $",Table1[[#This Row],[idh]])</f>
        <v>mapRound01_ID = $05</v>
      </c>
      <c r="E7" s="1" t="str">
        <f>CONCATENATE(Table1[[#This Row],[name]],"_ID")</f>
        <v>mapRound01_ID</v>
      </c>
    </row>
    <row r="8" spans="1:5" x14ac:dyDescent="0.25">
      <c r="A8" s="1">
        <f t="shared" si="0"/>
        <v>6</v>
      </c>
      <c r="B8" s="1" t="str">
        <f t="shared" si="1"/>
        <v>06</v>
      </c>
      <c r="C8" s="1" t="s">
        <v>6</v>
      </c>
      <c r="D8" s="1" t="str">
        <f>CONCATENATE(C8,"_ID = $",Table1[[#This Row],[idh]])</f>
        <v>mapRound02_ID = $06</v>
      </c>
      <c r="E8" s="1" t="str">
        <f>CONCATENATE(Table1[[#This Row],[name]],"_ID")</f>
        <v>mapRound02_ID</v>
      </c>
    </row>
    <row r="9" spans="1:5" x14ac:dyDescent="0.25">
      <c r="A9" s="1">
        <f t="shared" si="0"/>
        <v>7</v>
      </c>
      <c r="B9" s="1" t="str">
        <f t="shared" si="1"/>
        <v>07</v>
      </c>
      <c r="C9" s="1" t="s">
        <v>7</v>
      </c>
      <c r="D9" s="1" t="str">
        <f>CONCATENATE(C9,"_ID = $",Table1[[#This Row],[idh]])</f>
        <v>mapRound03_ID = $07</v>
      </c>
      <c r="E9" s="1" t="str">
        <f>CONCATENATE(Table1[[#This Row],[name]],"_ID")</f>
        <v>mapRound03_ID</v>
      </c>
    </row>
    <row r="10" spans="1:5" x14ac:dyDescent="0.25">
      <c r="A10" s="1">
        <f t="shared" si="0"/>
        <v>8</v>
      </c>
      <c r="B10" s="1" t="str">
        <f t="shared" si="1"/>
        <v>08</v>
      </c>
      <c r="C10" s="1" t="s">
        <v>8</v>
      </c>
      <c r="D10" s="1" t="str">
        <f>CONCATENATE(C10,"_ID = $",Table1[[#This Row],[idh]])</f>
        <v>mapRound04_ID = $08</v>
      </c>
      <c r="E10" s="1" t="str">
        <f>CONCATENATE(Table1[[#This Row],[name]],"_ID")</f>
        <v>mapRound04_ID</v>
      </c>
    </row>
    <row r="11" spans="1:5" x14ac:dyDescent="0.25">
      <c r="A11" s="1">
        <f t="shared" si="0"/>
        <v>9</v>
      </c>
      <c r="B11" s="1" t="str">
        <f t="shared" si="1"/>
        <v>09</v>
      </c>
      <c r="C11" s="1" t="s">
        <v>9</v>
      </c>
      <c r="D11" s="1" t="str">
        <f>CONCATENATE(C11,"_ID = $",Table1[[#This Row],[idh]])</f>
        <v>mapRound05_ID = $09</v>
      </c>
      <c r="E11" s="1" t="str">
        <f>CONCATENATE(Table1[[#This Row],[name]],"_ID")</f>
        <v>mapRound05_ID</v>
      </c>
    </row>
    <row r="12" spans="1:5" x14ac:dyDescent="0.25">
      <c r="A12" s="1">
        <f t="shared" si="0"/>
        <v>10</v>
      </c>
      <c r="B12" s="1" t="str">
        <f t="shared" si="1"/>
        <v>0A</v>
      </c>
      <c r="C12" s="1" t="s">
        <v>10</v>
      </c>
      <c r="D12" s="1" t="str">
        <f>CONCATENATE(C12,"_ID = $",Table1[[#This Row],[idh]])</f>
        <v>mapRound06_ID = $0A</v>
      </c>
      <c r="E12" s="1" t="str">
        <f>CONCATENATE(Table1[[#This Row],[name]],"_ID")</f>
        <v>mapRound06_ID</v>
      </c>
    </row>
    <row r="13" spans="1:5" x14ac:dyDescent="0.25">
      <c r="A13" s="1">
        <f t="shared" si="0"/>
        <v>11</v>
      </c>
      <c r="B13" s="1" t="str">
        <f t="shared" si="1"/>
        <v>0B</v>
      </c>
      <c r="C13" s="1" t="s">
        <v>11</v>
      </c>
      <c r="D13" s="1" t="str">
        <f>CONCATENATE(C13,"_ID = $",Table1[[#This Row],[idh]])</f>
        <v>mapRound07_ID = $0B</v>
      </c>
      <c r="E13" s="1" t="str">
        <f>CONCATENATE(Table1[[#This Row],[name]],"_ID")</f>
        <v>mapRound07_ID</v>
      </c>
    </row>
    <row r="14" spans="1:5" x14ac:dyDescent="0.25">
      <c r="A14" s="1">
        <f t="shared" si="0"/>
        <v>12</v>
      </c>
      <c r="B14" s="1" t="str">
        <f t="shared" si="1"/>
        <v>0C</v>
      </c>
      <c r="C14" s="1" t="s">
        <v>12</v>
      </c>
      <c r="D14" s="1" t="str">
        <f>CONCATENATE(C14,"_ID = $",Table1[[#This Row],[idh]])</f>
        <v>mapRound08_ID = $0C</v>
      </c>
      <c r="E14" s="1" t="str">
        <f>CONCATENATE(Table1[[#This Row],[name]],"_ID")</f>
        <v>mapRound08_ID</v>
      </c>
    </row>
    <row r="15" spans="1:5" x14ac:dyDescent="0.25">
      <c r="A15" s="1">
        <f t="shared" si="0"/>
        <v>13</v>
      </c>
      <c r="B15" s="1" t="str">
        <f t="shared" si="1"/>
        <v>0D</v>
      </c>
      <c r="C15" s="1" t="s">
        <v>13</v>
      </c>
      <c r="D15" s="1" t="str">
        <f>CONCATENATE(C15,"_ID = $",Table1[[#This Row],[idh]])</f>
        <v>mapRound09_ID = $0D</v>
      </c>
      <c r="E15" s="1" t="str">
        <f>CONCATENATE(Table1[[#This Row],[name]],"_ID")</f>
        <v>mapRound09_ID</v>
      </c>
    </row>
    <row r="16" spans="1:5" x14ac:dyDescent="0.25">
      <c r="A16" s="1">
        <f t="shared" si="0"/>
        <v>14</v>
      </c>
      <c r="B16" s="1" t="str">
        <f t="shared" si="1"/>
        <v>0E</v>
      </c>
      <c r="C16" s="1" t="s">
        <v>14</v>
      </c>
      <c r="D16" s="1" t="str">
        <f>CONCATENATE(C16,"_ID = $",Table1[[#This Row],[idh]])</f>
        <v>mapRound10_ID = $0E</v>
      </c>
      <c r="E16" s="1" t="str">
        <f>CONCATENATE(Table1[[#This Row],[name]],"_ID")</f>
        <v>mapRound10_ID</v>
      </c>
    </row>
    <row r="17" spans="1:5" x14ac:dyDescent="0.25">
      <c r="A17" s="1">
        <f t="shared" si="0"/>
        <v>15</v>
      </c>
      <c r="B17" s="1" t="str">
        <f t="shared" si="1"/>
        <v>0F</v>
      </c>
      <c r="C17" s="1" t="s">
        <v>15</v>
      </c>
      <c r="D17" s="1" t="str">
        <f>CONCATENATE(C17,"_ID = $",Table1[[#This Row],[idh]])</f>
        <v>mapRound11_ID = $0F</v>
      </c>
      <c r="E17" s="1" t="str">
        <f>CONCATENATE(Table1[[#This Row],[name]],"_ID")</f>
        <v>mapRound11_ID</v>
      </c>
    </row>
    <row r="18" spans="1:5" x14ac:dyDescent="0.25">
      <c r="A18" s="1">
        <f t="shared" si="0"/>
        <v>16</v>
      </c>
      <c r="B18" s="1" t="str">
        <f t="shared" si="1"/>
        <v>10</v>
      </c>
      <c r="C18" s="1" t="s">
        <v>16</v>
      </c>
      <c r="D18" s="1" t="str">
        <f>CONCATENATE(C18,"_ID = $",Table1[[#This Row],[idh]])</f>
        <v>mapRound12_ID = $10</v>
      </c>
      <c r="E18" s="1" t="str">
        <f>CONCATENATE(Table1[[#This Row],[name]],"_ID")</f>
        <v>mapRound12_ID</v>
      </c>
    </row>
    <row r="19" spans="1:5" x14ac:dyDescent="0.25">
      <c r="A19" s="1">
        <f t="shared" si="0"/>
        <v>17</v>
      </c>
      <c r="B19" s="1" t="str">
        <f t="shared" si="1"/>
        <v>11</v>
      </c>
      <c r="C19" s="1" t="s">
        <v>17</v>
      </c>
      <c r="D19" s="1" t="str">
        <f>CONCATENATE(C19,"_ID = $",Table1[[#This Row],[idh]])</f>
        <v>mapRound13_ID = $11</v>
      </c>
      <c r="E19" s="1" t="str">
        <f>CONCATENATE(Table1[[#This Row],[name]],"_ID")</f>
        <v>mapRound13_ID</v>
      </c>
    </row>
    <row r="20" spans="1:5" x14ac:dyDescent="0.25">
      <c r="A20" s="1">
        <f t="shared" si="0"/>
        <v>18</v>
      </c>
      <c r="B20" s="1" t="str">
        <f t="shared" si="1"/>
        <v>12</v>
      </c>
      <c r="C20" s="1" t="s">
        <v>18</v>
      </c>
      <c r="D20" s="1" t="str">
        <f>CONCATENATE(C20,"_ID = $",Table1[[#This Row],[idh]])</f>
        <v>mapRound14_ID = $12</v>
      </c>
      <c r="E20" s="1" t="str">
        <f>CONCATENATE(Table1[[#This Row],[name]],"_ID")</f>
        <v>mapRound14_ID</v>
      </c>
    </row>
    <row r="21" spans="1:5" x14ac:dyDescent="0.25">
      <c r="A21" s="1">
        <f t="shared" si="0"/>
        <v>19</v>
      </c>
      <c r="B21" s="1" t="str">
        <f t="shared" si="1"/>
        <v>13</v>
      </c>
      <c r="C21" s="1" t="s">
        <v>19</v>
      </c>
      <c r="D21" s="1" t="str">
        <f>CONCATENATE(C21,"_ID = $",Table1[[#This Row],[idh]])</f>
        <v>mapRound15_ID = $13</v>
      </c>
      <c r="E21" s="1" t="str">
        <f>CONCATENATE(Table1[[#This Row],[name]],"_ID")</f>
        <v>mapRound15_ID</v>
      </c>
    </row>
    <row r="22" spans="1:5" x14ac:dyDescent="0.25">
      <c r="A22" s="1">
        <f t="shared" si="0"/>
        <v>20</v>
      </c>
      <c r="B22" s="1" t="str">
        <f t="shared" si="1"/>
        <v>14</v>
      </c>
      <c r="C22" s="1" t="s">
        <v>20</v>
      </c>
      <c r="D22" s="1" t="str">
        <f>CONCATENATE(C22,"_ID = $",Table1[[#This Row],[idh]])</f>
        <v>mapRound16_ID = $14</v>
      </c>
      <c r="E22" s="1" t="str">
        <f>CONCATENATE(Table1[[#This Row],[name]],"_ID")</f>
        <v>mapRound16_ID</v>
      </c>
    </row>
    <row r="23" spans="1:5" x14ac:dyDescent="0.25">
      <c r="A23" s="1">
        <f t="shared" si="0"/>
        <v>21</v>
      </c>
      <c r="B23" s="1" t="str">
        <f t="shared" si="1"/>
        <v>15</v>
      </c>
      <c r="C23" s="1" t="s">
        <v>21</v>
      </c>
      <c r="D23" s="1" t="str">
        <f>CONCATENATE(C23,"_ID = $",Table1[[#This Row],[idh]])</f>
        <v>mapRound17_ID = $15</v>
      </c>
      <c r="E23" s="1" t="str">
        <f>CONCATENATE(Table1[[#This Row],[name]],"_ID")</f>
        <v>mapRound17_ID</v>
      </c>
    </row>
    <row r="24" spans="1:5" x14ac:dyDescent="0.25">
      <c r="A24" s="1">
        <f t="shared" si="0"/>
        <v>22</v>
      </c>
      <c r="B24" s="1" t="str">
        <f t="shared" si="1"/>
        <v>16</v>
      </c>
      <c r="C24" s="1" t="s">
        <v>22</v>
      </c>
      <c r="D24" s="1" t="str">
        <f>CONCATENATE(C24,"_ID = $",Table1[[#This Row],[idh]])</f>
        <v>mapRound18_ID = $16</v>
      </c>
      <c r="E24" s="1" t="str">
        <f>CONCATENATE(Table1[[#This Row],[name]],"_ID")</f>
        <v>mapRound18_ID</v>
      </c>
    </row>
    <row r="25" spans="1:5" x14ac:dyDescent="0.25">
      <c r="A25" s="1">
        <f t="shared" si="0"/>
        <v>23</v>
      </c>
      <c r="B25" s="1" t="str">
        <f t="shared" si="1"/>
        <v>17</v>
      </c>
      <c r="C25" s="1" t="s">
        <v>23</v>
      </c>
      <c r="D25" s="1" t="str">
        <f>CONCATENATE(C25,"_ID = $",Table1[[#This Row],[idh]])</f>
        <v>mapRound19_ID = $17</v>
      </c>
      <c r="E25" s="1" t="str">
        <f>CONCATENATE(Table1[[#This Row],[name]],"_ID")</f>
        <v>mapRound19_ID</v>
      </c>
    </row>
    <row r="26" spans="1:5" x14ac:dyDescent="0.25">
      <c r="A26" s="1">
        <f t="shared" si="0"/>
        <v>24</v>
      </c>
      <c r="B26" s="1" t="str">
        <f t="shared" si="1"/>
        <v>18</v>
      </c>
      <c r="C26" s="1" t="s">
        <v>24</v>
      </c>
      <c r="D26" s="1" t="str">
        <f>CONCATENATE(C26,"_ID = $",Table1[[#This Row],[idh]])</f>
        <v>mapRound20_ID = $18</v>
      </c>
      <c r="E26" s="1" t="str">
        <f>CONCATENATE(Table1[[#This Row],[name]],"_ID")</f>
        <v>mapRound20_ID</v>
      </c>
    </row>
    <row r="27" spans="1:5" x14ac:dyDescent="0.25">
      <c r="A27" s="1">
        <f t="shared" si="0"/>
        <v>25</v>
      </c>
      <c r="B27" s="1" t="str">
        <f t="shared" si="1"/>
        <v>19</v>
      </c>
      <c r="C27" s="1" t="s">
        <v>25</v>
      </c>
      <c r="D27" s="1" t="str">
        <f>CONCATENATE(C27,"_ID = $",Table1[[#This Row],[idh]])</f>
        <v>mapRound21_ID = $19</v>
      </c>
      <c r="E27" s="1" t="str">
        <f>CONCATENATE(Table1[[#This Row],[name]],"_ID")</f>
        <v>mapRound21_ID</v>
      </c>
    </row>
    <row r="28" spans="1:5" x14ac:dyDescent="0.25">
      <c r="A28" s="1">
        <f t="shared" si="0"/>
        <v>26</v>
      </c>
      <c r="B28" s="1" t="str">
        <f t="shared" si="1"/>
        <v>1A</v>
      </c>
      <c r="C28" s="1" t="s">
        <v>26</v>
      </c>
      <c r="D28" s="1" t="str">
        <f>CONCATENATE(C28,"_ID = $",Table1[[#This Row],[idh]])</f>
        <v>mapRound22_ID = $1A</v>
      </c>
      <c r="E28" s="1" t="str">
        <f>CONCATENATE(Table1[[#This Row],[name]],"_ID")</f>
        <v>mapRound22_ID</v>
      </c>
    </row>
    <row r="29" spans="1:5" x14ac:dyDescent="0.25">
      <c r="A29" s="1">
        <f t="shared" si="0"/>
        <v>27</v>
      </c>
      <c r="B29" s="1" t="str">
        <f t="shared" si="1"/>
        <v>1B</v>
      </c>
      <c r="C29" s="1" t="s">
        <v>27</v>
      </c>
      <c r="D29" s="1" t="str">
        <f>CONCATENATE(C29,"_ID = $",Table1[[#This Row],[idh]])</f>
        <v>mapRound23_ID = $1B</v>
      </c>
      <c r="E29" s="1" t="str">
        <f>CONCATENATE(Table1[[#This Row],[name]],"_ID")</f>
        <v>mapRound23_ID</v>
      </c>
    </row>
    <row r="30" spans="1:5" x14ac:dyDescent="0.25">
      <c r="A30" s="1">
        <f t="shared" si="0"/>
        <v>28</v>
      </c>
      <c r="B30" s="1" t="str">
        <f t="shared" si="1"/>
        <v>1C</v>
      </c>
      <c r="C30" s="1" t="s">
        <v>28</v>
      </c>
      <c r="D30" s="1" t="str">
        <f>CONCATENATE(C30,"_ID = $",Table1[[#This Row],[idh]])</f>
        <v>mapRound24_ID = $1C</v>
      </c>
      <c r="E30" s="1" t="str">
        <f>CONCATENATE(Table1[[#This Row],[name]],"_ID")</f>
        <v>mapRound24_ID</v>
      </c>
    </row>
    <row r="31" spans="1:5" x14ac:dyDescent="0.25">
      <c r="A31" s="1">
        <f t="shared" si="0"/>
        <v>29</v>
      </c>
      <c r="B31" s="1" t="str">
        <f t="shared" si="1"/>
        <v>1D</v>
      </c>
      <c r="C31" s="1" t="s">
        <v>29</v>
      </c>
      <c r="D31" s="1" t="str">
        <f>CONCATENATE(C31,"_ID = $",Table1[[#This Row],[idh]])</f>
        <v>mapRound25_ID = $1D</v>
      </c>
      <c r="E31" s="1" t="str">
        <f>CONCATENATE(Table1[[#This Row],[name]],"_ID")</f>
        <v>mapRound25_ID</v>
      </c>
    </row>
    <row r="32" spans="1:5" x14ac:dyDescent="0.25">
      <c r="A32" s="1">
        <f t="shared" si="0"/>
        <v>30</v>
      </c>
      <c r="B32" s="1" t="str">
        <f t="shared" si="1"/>
        <v>1E</v>
      </c>
      <c r="C32" s="1" t="s">
        <v>30</v>
      </c>
      <c r="D32" s="1" t="str">
        <f>CONCATENATE(C32,"_ID = $",Table1[[#This Row],[idh]])</f>
        <v>mapRound26_ID = $1E</v>
      </c>
      <c r="E32" s="1" t="str">
        <f>CONCATENATE(Table1[[#This Row],[name]],"_ID")</f>
        <v>mapRound26_ID</v>
      </c>
    </row>
    <row r="33" spans="1:5" x14ac:dyDescent="0.25">
      <c r="A33" s="1">
        <f t="shared" si="0"/>
        <v>31</v>
      </c>
      <c r="B33" s="1" t="str">
        <f t="shared" si="1"/>
        <v>1F</v>
      </c>
      <c r="C33" s="1" t="s">
        <v>31</v>
      </c>
      <c r="D33" s="1" t="str">
        <f>CONCATENATE(C33,"_ID = $",Table1[[#This Row],[idh]])</f>
        <v>mapRound27_ID = $1F</v>
      </c>
      <c r="E33" s="1" t="str">
        <f>CONCATENATE(Table1[[#This Row],[name]],"_ID")</f>
        <v>mapRound27_ID</v>
      </c>
    </row>
    <row r="34" spans="1:5" x14ac:dyDescent="0.25">
      <c r="A34" s="1">
        <f t="shared" si="0"/>
        <v>32</v>
      </c>
      <c r="B34" s="1" t="str">
        <f t="shared" si="1"/>
        <v>20</v>
      </c>
      <c r="C34" s="1" t="s">
        <v>32</v>
      </c>
      <c r="D34" s="1" t="str">
        <f>CONCATENATE(C34,"_ID = $",Table1[[#This Row],[idh]])</f>
        <v>mapRound28_ID = $20</v>
      </c>
      <c r="E34" s="1" t="str">
        <f>CONCATENATE(Table1[[#This Row],[name]],"_ID")</f>
        <v>mapRound28_ID</v>
      </c>
    </row>
    <row r="35" spans="1:5" x14ac:dyDescent="0.25">
      <c r="A35" s="1">
        <f t="shared" si="0"/>
        <v>33</v>
      </c>
      <c r="B35" s="1" t="str">
        <f t="shared" si="1"/>
        <v>21</v>
      </c>
      <c r="C35" s="1" t="s">
        <v>33</v>
      </c>
      <c r="D35" s="1" t="str">
        <f>CONCATENATE(C35,"_ID = $",Table1[[#This Row],[idh]])</f>
        <v>mapRound29_ID = $21</v>
      </c>
      <c r="E35" s="1" t="str">
        <f>CONCATENATE(Table1[[#This Row],[name]],"_ID")</f>
        <v>mapRound29_ID</v>
      </c>
    </row>
    <row r="36" spans="1:5" x14ac:dyDescent="0.25">
      <c r="A36" s="1">
        <f t="shared" si="0"/>
        <v>34</v>
      </c>
      <c r="B36" s="1" t="str">
        <f t="shared" si="1"/>
        <v>22</v>
      </c>
      <c r="C36" s="1" t="s">
        <v>34</v>
      </c>
      <c r="D36" s="1" t="str">
        <f>CONCATENATE(C36,"_ID = $",Table1[[#This Row],[idh]])</f>
        <v>mapRound30_ID = $22</v>
      </c>
      <c r="E36" s="1" t="str">
        <f>CONCATENATE(Table1[[#This Row],[name]],"_ID")</f>
        <v>mapRound30_ID</v>
      </c>
    </row>
    <row r="37" spans="1:5" x14ac:dyDescent="0.25">
      <c r="A37" s="1">
        <f t="shared" si="0"/>
        <v>35</v>
      </c>
      <c r="B37" s="1" t="str">
        <f t="shared" si="1"/>
        <v>23</v>
      </c>
      <c r="C37" s="1" t="s">
        <v>35</v>
      </c>
      <c r="D37" s="1" t="str">
        <f>CONCATENATE(C37,"_ID = $",Table1[[#This Row],[idh]])</f>
        <v>mapRound31_ID = $23</v>
      </c>
      <c r="E37" s="1" t="str">
        <f>CONCATENATE(Table1[[#This Row],[name]],"_ID")</f>
        <v>mapRound31_ID</v>
      </c>
    </row>
    <row r="38" spans="1:5" x14ac:dyDescent="0.25">
      <c r="A38" s="1">
        <f t="shared" si="0"/>
        <v>36</v>
      </c>
      <c r="B38" s="1" t="str">
        <f t="shared" si="1"/>
        <v>24</v>
      </c>
      <c r="C38" s="1" t="s">
        <v>36</v>
      </c>
      <c r="D38" s="1" t="str">
        <f>CONCATENATE(C38,"_ID = $",Table1[[#This Row],[idh]])</f>
        <v>mapRound32_ID = $24</v>
      </c>
      <c r="E38" s="1" t="str">
        <f>CONCATENATE(Table1[[#This Row],[name]],"_ID")</f>
        <v>mapRound32_ID</v>
      </c>
    </row>
    <row r="39" spans="1:5" x14ac:dyDescent="0.25">
      <c r="A39" s="1">
        <f t="shared" si="0"/>
        <v>37</v>
      </c>
      <c r="B39" s="1" t="str">
        <f t="shared" si="1"/>
        <v>25</v>
      </c>
      <c r="C39" s="1" t="s">
        <v>37</v>
      </c>
      <c r="D39" s="1" t="str">
        <f>CONCATENATE(C39,"_ID = $",Table1[[#This Row],[idh]])</f>
        <v>mapRound33_ID = $25</v>
      </c>
      <c r="E39" s="1" t="str">
        <f>CONCATENATE(Table1[[#This Row],[name]],"_ID")</f>
        <v>mapRound33_ID</v>
      </c>
    </row>
    <row r="40" spans="1:5" x14ac:dyDescent="0.25">
      <c r="A40" s="1">
        <f t="shared" si="0"/>
        <v>38</v>
      </c>
      <c r="B40" s="1" t="str">
        <f t="shared" si="1"/>
        <v>26</v>
      </c>
      <c r="C40" s="1" t="s">
        <v>38</v>
      </c>
      <c r="D40" s="1" t="str">
        <f>CONCATENATE(C40,"_ID = $",Table1[[#This Row],[idh]])</f>
        <v>mapRound34_ID = $26</v>
      </c>
      <c r="E40" s="1" t="str">
        <f>CONCATENATE(Table1[[#This Row],[name]],"_ID")</f>
        <v>mapRound34_ID</v>
      </c>
    </row>
    <row r="41" spans="1:5" x14ac:dyDescent="0.25">
      <c r="A41" s="1">
        <f t="shared" si="0"/>
        <v>39</v>
      </c>
      <c r="B41" s="1" t="str">
        <f t="shared" si="1"/>
        <v>27</v>
      </c>
      <c r="C41" s="1" t="s">
        <v>39</v>
      </c>
      <c r="D41" s="1" t="str">
        <f>CONCATENATE(C41,"_ID = $",Table1[[#This Row],[idh]])</f>
        <v>mapRound35_ID = $27</v>
      </c>
      <c r="E41" s="1" t="str">
        <f>CONCATENATE(Table1[[#This Row],[name]],"_ID")</f>
        <v>mapRound35_ID</v>
      </c>
    </row>
    <row r="42" spans="1:5" x14ac:dyDescent="0.25">
      <c r="A42" s="1">
        <f t="shared" si="0"/>
        <v>40</v>
      </c>
      <c r="B42" s="1" t="str">
        <f t="shared" si="1"/>
        <v>28</v>
      </c>
      <c r="C42" s="1" t="s">
        <v>40</v>
      </c>
      <c r="D42" s="1" t="str">
        <f>CONCATENATE(C42,"_ID = $",Table1[[#This Row],[idh]])</f>
        <v>mapRound36_ID = $28</v>
      </c>
      <c r="E42" s="1" t="str">
        <f>CONCATENATE(Table1[[#This Row],[name]],"_ID")</f>
        <v>mapRound36_ID</v>
      </c>
    </row>
    <row r="43" spans="1:5" x14ac:dyDescent="0.25">
      <c r="A43" s="1">
        <f t="shared" si="0"/>
        <v>41</v>
      </c>
      <c r="B43" s="1" t="str">
        <f t="shared" si="1"/>
        <v>29</v>
      </c>
      <c r="C43" s="1" t="s">
        <v>41</v>
      </c>
      <c r="D43" s="1" t="str">
        <f>CONCATENATE(C43,"_ID = $",Table1[[#This Row],[idh]])</f>
        <v>mapRound37_ID = $29</v>
      </c>
      <c r="E43" s="1" t="str">
        <f>CONCATENATE(Table1[[#This Row],[name]],"_ID")</f>
        <v>mapRound37_ID</v>
      </c>
    </row>
    <row r="44" spans="1:5" x14ac:dyDescent="0.25">
      <c r="A44" s="1">
        <f t="shared" si="0"/>
        <v>42</v>
      </c>
      <c r="B44" s="1" t="str">
        <f t="shared" si="1"/>
        <v>2A</v>
      </c>
      <c r="C44" s="1" t="s">
        <v>42</v>
      </c>
      <c r="D44" s="1" t="str">
        <f>CONCATENATE(C44,"_ID = $",Table1[[#This Row],[idh]])</f>
        <v>mapRound38_ID = $2A</v>
      </c>
      <c r="E44" s="1" t="str">
        <f>CONCATENATE(Table1[[#This Row],[name]],"_ID")</f>
        <v>mapRound38_ID</v>
      </c>
    </row>
    <row r="45" spans="1:5" x14ac:dyDescent="0.25">
      <c r="A45" s="1">
        <f t="shared" si="0"/>
        <v>43</v>
      </c>
      <c r="B45" s="1" t="str">
        <f t="shared" si="1"/>
        <v>2B</v>
      </c>
      <c r="C45" s="1" t="s">
        <v>43</v>
      </c>
      <c r="D45" s="1" t="str">
        <f>CONCATENATE(C45,"_ID = $",Table1[[#This Row],[idh]])</f>
        <v>mapRound39_ID = $2B</v>
      </c>
      <c r="E45" s="1" t="str">
        <f>CONCATENATE(Table1[[#This Row],[name]],"_ID")</f>
        <v>mapRound39_ID</v>
      </c>
    </row>
    <row r="46" spans="1:5" x14ac:dyDescent="0.25">
      <c r="A46" s="1">
        <f t="shared" si="0"/>
        <v>44</v>
      </c>
      <c r="B46" s="1" t="str">
        <f t="shared" si="1"/>
        <v>2C</v>
      </c>
      <c r="C46" s="1" t="s">
        <v>44</v>
      </c>
      <c r="D46" s="1" t="str">
        <f>CONCATENATE(C46,"_ID = $",Table1[[#This Row],[idh]])</f>
        <v>mapRound40_ID = $2C</v>
      </c>
      <c r="E46" s="1" t="str">
        <f>CONCATENATE(Table1[[#This Row],[name]],"_ID")</f>
        <v>mapRound40_ID</v>
      </c>
    </row>
    <row r="47" spans="1:5" x14ac:dyDescent="0.25">
      <c r="A47" s="1">
        <f t="shared" si="0"/>
        <v>45</v>
      </c>
      <c r="B47" s="1" t="str">
        <f t="shared" si="1"/>
        <v>2D</v>
      </c>
      <c r="C47" s="1" t="s">
        <v>45</v>
      </c>
      <c r="D47" s="1" t="str">
        <f>CONCATENATE(C47,"_ID = $",Table1[[#This Row],[idh]])</f>
        <v>mapRound41_ID = $2D</v>
      </c>
      <c r="E47" s="1" t="str">
        <f>CONCATENATE(Table1[[#This Row],[name]],"_ID")</f>
        <v>mapRound41_ID</v>
      </c>
    </row>
    <row r="48" spans="1:5" x14ac:dyDescent="0.25">
      <c r="A48" s="1">
        <f t="shared" si="0"/>
        <v>46</v>
      </c>
      <c r="B48" s="1" t="str">
        <f t="shared" si="1"/>
        <v>2E</v>
      </c>
      <c r="C48" s="1" t="s">
        <v>46</v>
      </c>
      <c r="D48" s="1" t="str">
        <f>CONCATENATE(C48,"_ID = $",Table1[[#This Row],[idh]])</f>
        <v>mapRound42_ID = $2E</v>
      </c>
      <c r="E48" s="1" t="str">
        <f>CONCATENATE(Table1[[#This Row],[name]],"_ID")</f>
        <v>mapRound42_ID</v>
      </c>
    </row>
    <row r="49" spans="1:5" x14ac:dyDescent="0.25">
      <c r="A49" s="1">
        <f t="shared" si="0"/>
        <v>47</v>
      </c>
      <c r="B49" s="1" t="str">
        <f t="shared" si="1"/>
        <v>2F</v>
      </c>
      <c r="C49" s="1" t="s">
        <v>47</v>
      </c>
      <c r="D49" s="1" t="str">
        <f>CONCATENATE(C49,"_ID = $",Table1[[#This Row],[idh]])</f>
        <v>mapRound43_ID = $2F</v>
      </c>
      <c r="E49" s="1" t="str">
        <f>CONCATENATE(Table1[[#This Row],[name]],"_ID")</f>
        <v>mapRound43_ID</v>
      </c>
    </row>
    <row r="50" spans="1:5" x14ac:dyDescent="0.25">
      <c r="A50" s="1">
        <f t="shared" si="0"/>
        <v>48</v>
      </c>
      <c r="B50" s="1" t="str">
        <f t="shared" si="1"/>
        <v>30</v>
      </c>
      <c r="C50" s="1" t="s">
        <v>48</v>
      </c>
      <c r="D50" s="1" t="str">
        <f>CONCATENATE(C50,"_ID = $",Table1[[#This Row],[idh]])</f>
        <v>mapRound44_ID = $30</v>
      </c>
      <c r="E50" s="1" t="str">
        <f>CONCATENATE(Table1[[#This Row],[name]],"_ID")</f>
        <v>mapRound44_ID</v>
      </c>
    </row>
    <row r="51" spans="1:5" x14ac:dyDescent="0.25">
      <c r="A51" s="1">
        <f t="shared" si="0"/>
        <v>49</v>
      </c>
      <c r="B51" s="1" t="str">
        <f t="shared" si="1"/>
        <v>31</v>
      </c>
      <c r="C51" s="1" t="s">
        <v>49</v>
      </c>
      <c r="D51" s="1" t="str">
        <f>CONCATENATE(C51,"_ID = $",Table1[[#This Row],[idh]])</f>
        <v>mapRound45_ID = $31</v>
      </c>
      <c r="E51" s="1" t="str">
        <f>CONCATENATE(Table1[[#This Row],[name]],"_ID")</f>
        <v>mapRound45_ID</v>
      </c>
    </row>
    <row r="52" spans="1:5" x14ac:dyDescent="0.25">
      <c r="A52" s="1">
        <f t="shared" si="0"/>
        <v>50</v>
      </c>
      <c r="B52" s="1" t="str">
        <f t="shared" si="1"/>
        <v>32</v>
      </c>
      <c r="C52" s="1" t="s">
        <v>50</v>
      </c>
      <c r="D52" s="1" t="str">
        <f>CONCATENATE(C52,"_ID = $",Table1[[#This Row],[idh]])</f>
        <v>mapRound46_ID = $32</v>
      </c>
      <c r="E52" s="1" t="str">
        <f>CONCATENATE(Table1[[#This Row],[name]],"_ID")</f>
        <v>mapRound46_ID</v>
      </c>
    </row>
    <row r="53" spans="1:5" x14ac:dyDescent="0.25">
      <c r="A53" s="1">
        <f t="shared" si="0"/>
        <v>51</v>
      </c>
      <c r="B53" s="1" t="str">
        <f t="shared" si="1"/>
        <v>33</v>
      </c>
      <c r="C53" s="1" t="s">
        <v>51</v>
      </c>
      <c r="D53" s="1" t="str">
        <f>CONCATENATE(C53,"_ID = $",Table1[[#This Row],[idh]])</f>
        <v>mapRound47_ID = $33</v>
      </c>
      <c r="E53" s="1" t="str">
        <f>CONCATENATE(Table1[[#This Row],[name]],"_ID")</f>
        <v>mapRound47_ID</v>
      </c>
    </row>
    <row r="54" spans="1:5" x14ac:dyDescent="0.25">
      <c r="A54" s="1">
        <f t="shared" si="0"/>
        <v>52</v>
      </c>
      <c r="B54" s="1" t="str">
        <f t="shared" si="1"/>
        <v>34</v>
      </c>
      <c r="C54" s="1" t="s">
        <v>52</v>
      </c>
      <c r="D54" s="1" t="str">
        <f>CONCATENATE(C54,"_ID = $",Table1[[#This Row],[idh]])</f>
        <v>mapRound48_ID = $34</v>
      </c>
      <c r="E54" s="1" t="str">
        <f>CONCATENATE(Table1[[#This Row],[name]],"_ID")</f>
        <v>mapRound48_ID</v>
      </c>
    </row>
    <row r="55" spans="1:5" x14ac:dyDescent="0.25">
      <c r="A55" s="1">
        <f t="shared" si="0"/>
        <v>53</v>
      </c>
      <c r="B55" s="1" t="str">
        <f t="shared" si="1"/>
        <v>35</v>
      </c>
      <c r="C55" s="1" t="s">
        <v>53</v>
      </c>
      <c r="D55" s="1" t="str">
        <f>CONCATENATE(C55,"_ID = $",Table1[[#This Row],[idh]])</f>
        <v>mapRound49_ID = $35</v>
      </c>
      <c r="E55" s="1" t="str">
        <f>CONCATENATE(Table1[[#This Row],[name]],"_ID")</f>
        <v>mapRound49_ID</v>
      </c>
    </row>
    <row r="56" spans="1:5" x14ac:dyDescent="0.25">
      <c r="A56" s="1">
        <f t="shared" si="0"/>
        <v>54</v>
      </c>
      <c r="B56" s="1" t="str">
        <f t="shared" si="1"/>
        <v>36</v>
      </c>
      <c r="C56" s="1" t="s">
        <v>54</v>
      </c>
      <c r="D56" s="1" t="str">
        <f>CONCATENATE(C56,"_ID = $",Table1[[#This Row],[idh]])</f>
        <v>mapRound50_ID = $36</v>
      </c>
      <c r="E56" s="1" t="str">
        <f>CONCATENATE(Table1[[#This Row],[name]],"_ID")</f>
        <v>mapRound50_ID</v>
      </c>
    </row>
    <row r="57" spans="1:5" x14ac:dyDescent="0.25">
      <c r="A57" s="1">
        <f t="shared" si="0"/>
        <v>55</v>
      </c>
      <c r="B57" s="1" t="str">
        <f t="shared" si="1"/>
        <v>37</v>
      </c>
      <c r="C57" s="1" t="s">
        <v>55</v>
      </c>
      <c r="D57" s="1" t="str">
        <f>CONCATENATE(C57,"_ID = $",Table1[[#This Row],[idh]])</f>
        <v>mapRound51_ID = $37</v>
      </c>
      <c r="E57" s="1" t="str">
        <f>CONCATENATE(Table1[[#This Row],[name]],"_ID")</f>
        <v>mapRound51_ID</v>
      </c>
    </row>
    <row r="58" spans="1:5" x14ac:dyDescent="0.25">
      <c r="A58" s="1">
        <f t="shared" si="0"/>
        <v>56</v>
      </c>
      <c r="B58" s="1" t="str">
        <f t="shared" si="1"/>
        <v>38</v>
      </c>
      <c r="C58" s="1" t="s">
        <v>56</v>
      </c>
      <c r="D58" s="1" t="str">
        <f>CONCATENATE(C58,"_ID = $",Table1[[#This Row],[idh]])</f>
        <v>mapRound52_ID = $38</v>
      </c>
      <c r="E58" s="1" t="str">
        <f>CONCATENATE(Table1[[#This Row],[name]],"_ID")</f>
        <v>mapRound52_ID</v>
      </c>
    </row>
    <row r="59" spans="1:5" x14ac:dyDescent="0.25">
      <c r="A59" s="1">
        <f t="shared" si="0"/>
        <v>57</v>
      </c>
      <c r="B59" s="1" t="str">
        <f t="shared" si="1"/>
        <v>39</v>
      </c>
      <c r="C59" s="1" t="s">
        <v>57</v>
      </c>
      <c r="D59" s="1" t="str">
        <f>CONCATENATE(C59,"_ID = $",Table1[[#This Row],[idh]])</f>
        <v>mapRound53_ID = $39</v>
      </c>
      <c r="E59" s="1" t="str">
        <f>CONCATENATE(Table1[[#This Row],[name]],"_ID")</f>
        <v>mapRound53_ID</v>
      </c>
    </row>
    <row r="60" spans="1:5" x14ac:dyDescent="0.25">
      <c r="A60" s="1">
        <f t="shared" si="0"/>
        <v>58</v>
      </c>
      <c r="B60" s="1" t="str">
        <f t="shared" si="1"/>
        <v>3A</v>
      </c>
      <c r="C60" s="1" t="s">
        <v>58</v>
      </c>
      <c r="D60" s="1" t="str">
        <f>CONCATENATE(C60,"_ID = $",Table1[[#This Row],[idh]])</f>
        <v>mapRound54_ID = $3A</v>
      </c>
      <c r="E60" s="1" t="str">
        <f>CONCATENATE(Table1[[#This Row],[name]],"_ID")</f>
        <v>mapRound54_ID</v>
      </c>
    </row>
    <row r="61" spans="1:5" x14ac:dyDescent="0.25">
      <c r="A61" s="1">
        <f t="shared" si="0"/>
        <v>59</v>
      </c>
      <c r="B61" s="1" t="str">
        <f t="shared" si="1"/>
        <v>3B</v>
      </c>
      <c r="C61" s="1" t="s">
        <v>59</v>
      </c>
      <c r="D61" s="1" t="str">
        <f>CONCATENATE(C61,"_ID = $",Table1[[#This Row],[idh]])</f>
        <v>mapRound55_ID = $3B</v>
      </c>
      <c r="E61" s="1" t="str">
        <f>CONCATENATE(Table1[[#This Row],[name]],"_ID")</f>
        <v>mapRound55_ID</v>
      </c>
    </row>
    <row r="62" spans="1:5" x14ac:dyDescent="0.25">
      <c r="A62" s="1">
        <f t="shared" si="0"/>
        <v>60</v>
      </c>
      <c r="B62" s="1" t="str">
        <f t="shared" si="1"/>
        <v>3C</v>
      </c>
      <c r="C62" s="1" t="s">
        <v>60</v>
      </c>
      <c r="D62" s="1" t="str">
        <f>CONCATENATE(C62,"_ID = $",Table1[[#This Row],[idh]])</f>
        <v>mapRound56_ID = $3C</v>
      </c>
      <c r="E62" s="1" t="str">
        <f>CONCATENATE(Table1[[#This Row],[name]],"_ID")</f>
        <v>mapRound56_ID</v>
      </c>
    </row>
    <row r="63" spans="1:5" x14ac:dyDescent="0.25">
      <c r="A63" s="1">
        <f t="shared" si="0"/>
        <v>61</v>
      </c>
      <c r="B63" s="1" t="str">
        <f t="shared" si="1"/>
        <v>3D</v>
      </c>
      <c r="C63" s="1" t="s">
        <v>61</v>
      </c>
      <c r="D63" s="1" t="str">
        <f>CONCATENATE(C63,"_ID = $",Table1[[#This Row],[idh]])</f>
        <v>mapRound57_ID = $3D</v>
      </c>
      <c r="E63" s="1" t="str">
        <f>CONCATENATE(Table1[[#This Row],[name]],"_ID")</f>
        <v>mapRound57_ID</v>
      </c>
    </row>
    <row r="64" spans="1:5" x14ac:dyDescent="0.25">
      <c r="A64" s="1">
        <f t="shared" si="0"/>
        <v>62</v>
      </c>
      <c r="B64" s="1" t="str">
        <f t="shared" si="1"/>
        <v>3E</v>
      </c>
      <c r="C64" s="1" t="s">
        <v>62</v>
      </c>
      <c r="D64" s="1" t="str">
        <f>CONCATENATE(C64,"_ID = $",Table1[[#This Row],[idh]])</f>
        <v>mapRound58_ID = $3E</v>
      </c>
      <c r="E64" s="1" t="str">
        <f>CONCATENATE(Table1[[#This Row],[name]],"_ID")</f>
        <v>mapRound58_ID</v>
      </c>
    </row>
    <row r="65" spans="1:5" x14ac:dyDescent="0.25">
      <c r="A65" s="1">
        <f t="shared" si="0"/>
        <v>63</v>
      </c>
      <c r="B65" s="1" t="str">
        <f t="shared" si="1"/>
        <v>3F</v>
      </c>
      <c r="C65" s="1" t="s">
        <v>63</v>
      </c>
      <c r="D65" s="1" t="str">
        <f>CONCATENATE(C65,"_ID = $",Table1[[#This Row],[idh]])</f>
        <v>mapRound59_ID = $3F</v>
      </c>
      <c r="E65" s="1" t="str">
        <f>CONCATENATE(Table1[[#This Row],[name]],"_ID")</f>
        <v>mapRound59_ID</v>
      </c>
    </row>
    <row r="66" spans="1:5" x14ac:dyDescent="0.25">
      <c r="A66" s="1">
        <f t="shared" si="0"/>
        <v>64</v>
      </c>
      <c r="B66" s="1" t="str">
        <f t="shared" si="1"/>
        <v>40</v>
      </c>
      <c r="C66" s="1" t="s">
        <v>64</v>
      </c>
      <c r="D66" s="1" t="str">
        <f>CONCATENATE(C66,"_ID = $",Table1[[#This Row],[idh]])</f>
        <v>mapRound60_ID = $40</v>
      </c>
      <c r="E66" s="1" t="str">
        <f>CONCATENATE(Table1[[#This Row],[name]],"_ID")</f>
        <v>mapRound60_ID</v>
      </c>
    </row>
    <row r="67" spans="1:5" x14ac:dyDescent="0.25">
      <c r="A67" s="1">
        <f t="shared" ref="A67:A106" si="2">ROW()-2</f>
        <v>65</v>
      </c>
      <c r="B67" s="1" t="str">
        <f t="shared" ref="B67:B106" si="3">DEC2HEX(ROW()-2,2)</f>
        <v>41</v>
      </c>
      <c r="C67" s="1" t="s">
        <v>65</v>
      </c>
      <c r="D67" s="1" t="str">
        <f>CONCATENATE(C67,"_ID = $",Table1[[#This Row],[idh]])</f>
        <v>mapRound61_ID = $41</v>
      </c>
      <c r="E67" s="1" t="str">
        <f>CONCATENATE(Table1[[#This Row],[name]],"_ID")</f>
        <v>mapRound61_ID</v>
      </c>
    </row>
    <row r="68" spans="1:5" x14ac:dyDescent="0.25">
      <c r="A68" s="1">
        <f t="shared" si="2"/>
        <v>66</v>
      </c>
      <c r="B68" s="1" t="str">
        <f t="shared" si="3"/>
        <v>42</v>
      </c>
      <c r="C68" s="1" t="s">
        <v>66</v>
      </c>
      <c r="D68" s="1" t="str">
        <f>CONCATENATE(C68,"_ID = $",Table1[[#This Row],[idh]])</f>
        <v>mapRound62_ID = $42</v>
      </c>
      <c r="E68" s="1" t="str">
        <f>CONCATENATE(Table1[[#This Row],[name]],"_ID")</f>
        <v>mapRound62_ID</v>
      </c>
    </row>
    <row r="69" spans="1:5" x14ac:dyDescent="0.25">
      <c r="A69" s="1">
        <f t="shared" si="2"/>
        <v>67</v>
      </c>
      <c r="B69" s="1" t="str">
        <f t="shared" si="3"/>
        <v>43</v>
      </c>
      <c r="C69" s="1" t="s">
        <v>67</v>
      </c>
      <c r="D69" s="1" t="str">
        <f>CONCATENATE(C69,"_ID = $",Table1[[#This Row],[idh]])</f>
        <v>mapRound63_ID = $43</v>
      </c>
      <c r="E69" s="1" t="str">
        <f>CONCATENATE(Table1[[#This Row],[name]],"_ID")</f>
        <v>mapRound63_ID</v>
      </c>
    </row>
    <row r="70" spans="1:5" x14ac:dyDescent="0.25">
      <c r="A70" s="1">
        <f t="shared" si="2"/>
        <v>68</v>
      </c>
      <c r="B70" s="1" t="str">
        <f t="shared" si="3"/>
        <v>44</v>
      </c>
      <c r="C70" s="1" t="s">
        <v>68</v>
      </c>
      <c r="D70" s="1" t="str">
        <f>CONCATENATE(C70,"_ID = $",Table1[[#This Row],[idh]])</f>
        <v>mapRound64_ID = $44</v>
      </c>
      <c r="E70" s="1" t="str">
        <f>CONCATENATE(Table1[[#This Row],[name]],"_ID")</f>
        <v>mapRound64_ID</v>
      </c>
    </row>
    <row r="71" spans="1:5" x14ac:dyDescent="0.25">
      <c r="A71" s="1">
        <f t="shared" si="2"/>
        <v>69</v>
      </c>
      <c r="B71" s="1" t="str">
        <f t="shared" si="3"/>
        <v>45</v>
      </c>
      <c r="C71" s="1" t="s">
        <v>69</v>
      </c>
      <c r="D71" s="1" t="str">
        <f>CONCATENATE(C71,"_ID = $",Table1[[#This Row],[idh]])</f>
        <v>mapRound65_ID = $45</v>
      </c>
      <c r="E71" s="1" t="str">
        <f>CONCATENATE(Table1[[#This Row],[name]],"_ID")</f>
        <v>mapRound65_ID</v>
      </c>
    </row>
    <row r="72" spans="1:5" x14ac:dyDescent="0.25">
      <c r="A72" s="1">
        <f t="shared" si="2"/>
        <v>70</v>
      </c>
      <c r="B72" s="1" t="str">
        <f t="shared" si="3"/>
        <v>46</v>
      </c>
      <c r="C72" s="1" t="s">
        <v>70</v>
      </c>
      <c r="D72" s="1" t="str">
        <f>CONCATENATE(C72,"_ID = $",Table1[[#This Row],[idh]])</f>
        <v>mapRound66_ID = $46</v>
      </c>
      <c r="E72" s="1" t="str">
        <f>CONCATENATE(Table1[[#This Row],[name]],"_ID")</f>
        <v>mapRound66_ID</v>
      </c>
    </row>
    <row r="73" spans="1:5" x14ac:dyDescent="0.25">
      <c r="A73" s="1">
        <f t="shared" si="2"/>
        <v>71</v>
      </c>
      <c r="B73" s="1" t="str">
        <f t="shared" si="3"/>
        <v>47</v>
      </c>
      <c r="C73" s="1" t="s">
        <v>71</v>
      </c>
      <c r="D73" s="1" t="str">
        <f>CONCATENATE(C73,"_ID = $",Table1[[#This Row],[idh]])</f>
        <v>mapRound67_ID = $47</v>
      </c>
      <c r="E73" s="1" t="str">
        <f>CONCATENATE(Table1[[#This Row],[name]],"_ID")</f>
        <v>mapRound67_ID</v>
      </c>
    </row>
    <row r="74" spans="1:5" x14ac:dyDescent="0.25">
      <c r="A74" s="1">
        <f t="shared" si="2"/>
        <v>72</v>
      </c>
      <c r="B74" s="1" t="str">
        <f t="shared" si="3"/>
        <v>48</v>
      </c>
      <c r="C74" s="1" t="s">
        <v>72</v>
      </c>
      <c r="D74" s="1" t="str">
        <f>CONCATENATE(C74,"_ID = $",Table1[[#This Row],[idh]])</f>
        <v>mapRound68_ID = $48</v>
      </c>
      <c r="E74" s="1" t="str">
        <f>CONCATENATE(Table1[[#This Row],[name]],"_ID")</f>
        <v>mapRound68_ID</v>
      </c>
    </row>
    <row r="75" spans="1:5" x14ac:dyDescent="0.25">
      <c r="A75" s="1">
        <f t="shared" si="2"/>
        <v>73</v>
      </c>
      <c r="B75" s="1" t="str">
        <f t="shared" si="3"/>
        <v>49</v>
      </c>
      <c r="C75" s="1" t="s">
        <v>73</v>
      </c>
      <c r="D75" s="1" t="str">
        <f>CONCATENATE(C75,"_ID = $",Table1[[#This Row],[idh]])</f>
        <v>mapRound69_ID = $49</v>
      </c>
      <c r="E75" s="1" t="str">
        <f>CONCATENATE(Table1[[#This Row],[name]],"_ID")</f>
        <v>mapRound69_ID</v>
      </c>
    </row>
    <row r="76" spans="1:5" x14ac:dyDescent="0.25">
      <c r="A76" s="1">
        <f t="shared" si="2"/>
        <v>74</v>
      </c>
      <c r="B76" s="1" t="str">
        <f t="shared" si="3"/>
        <v>4A</v>
      </c>
      <c r="C76" s="1" t="s">
        <v>74</v>
      </c>
      <c r="D76" s="1" t="str">
        <f>CONCATENATE(C76,"_ID = $",Table1[[#This Row],[idh]])</f>
        <v>mapRound70_ID = $4A</v>
      </c>
      <c r="E76" s="1" t="str">
        <f>CONCATENATE(Table1[[#This Row],[name]],"_ID")</f>
        <v>mapRound70_ID</v>
      </c>
    </row>
    <row r="77" spans="1:5" x14ac:dyDescent="0.25">
      <c r="A77" s="1">
        <f t="shared" si="2"/>
        <v>75</v>
      </c>
      <c r="B77" s="1" t="str">
        <f t="shared" si="3"/>
        <v>4B</v>
      </c>
      <c r="C77" s="1" t="s">
        <v>75</v>
      </c>
      <c r="D77" s="1" t="str">
        <f>CONCATENATE(C77,"_ID = $",Table1[[#This Row],[idh]])</f>
        <v>mapRound71_ID = $4B</v>
      </c>
      <c r="E77" s="1" t="str">
        <f>CONCATENATE(Table1[[#This Row],[name]],"_ID")</f>
        <v>mapRound71_ID</v>
      </c>
    </row>
    <row r="78" spans="1:5" x14ac:dyDescent="0.25">
      <c r="A78" s="1">
        <f t="shared" si="2"/>
        <v>76</v>
      </c>
      <c r="B78" s="1" t="str">
        <f t="shared" si="3"/>
        <v>4C</v>
      </c>
      <c r="C78" s="1" t="s">
        <v>76</v>
      </c>
      <c r="D78" s="1" t="str">
        <f>CONCATENATE(C78,"_ID = $",Table1[[#This Row],[idh]])</f>
        <v>mapRound72_ID = $4C</v>
      </c>
      <c r="E78" s="1" t="str">
        <f>CONCATENATE(Table1[[#This Row],[name]],"_ID")</f>
        <v>mapRound72_ID</v>
      </c>
    </row>
    <row r="79" spans="1:5" x14ac:dyDescent="0.25">
      <c r="A79" s="1">
        <f t="shared" si="2"/>
        <v>77</v>
      </c>
      <c r="B79" s="1" t="str">
        <f t="shared" si="3"/>
        <v>4D</v>
      </c>
      <c r="C79" s="1" t="s">
        <v>77</v>
      </c>
      <c r="D79" s="1" t="str">
        <f>CONCATENATE(C79,"_ID = $",Table1[[#This Row],[idh]])</f>
        <v>mapRound73_ID = $4D</v>
      </c>
      <c r="E79" s="1" t="str">
        <f>CONCATENATE(Table1[[#This Row],[name]],"_ID")</f>
        <v>mapRound73_ID</v>
      </c>
    </row>
    <row r="80" spans="1:5" x14ac:dyDescent="0.25">
      <c r="A80" s="1">
        <f t="shared" si="2"/>
        <v>78</v>
      </c>
      <c r="B80" s="1" t="str">
        <f t="shared" si="3"/>
        <v>4E</v>
      </c>
      <c r="C80" s="1" t="s">
        <v>78</v>
      </c>
      <c r="D80" s="1" t="str">
        <f>CONCATENATE(C80,"_ID = $",Table1[[#This Row],[idh]])</f>
        <v>mapRound74_ID = $4E</v>
      </c>
      <c r="E80" s="1" t="str">
        <f>CONCATENATE(Table1[[#This Row],[name]],"_ID")</f>
        <v>mapRound74_ID</v>
      </c>
    </row>
    <row r="81" spans="1:5" x14ac:dyDescent="0.25">
      <c r="A81" s="1">
        <f t="shared" si="2"/>
        <v>79</v>
      </c>
      <c r="B81" s="1" t="str">
        <f t="shared" si="3"/>
        <v>4F</v>
      </c>
      <c r="C81" s="1" t="s">
        <v>79</v>
      </c>
      <c r="D81" s="1" t="str">
        <f>CONCATENATE(C81,"_ID = $",Table1[[#This Row],[idh]])</f>
        <v>mapRound75_ID = $4F</v>
      </c>
      <c r="E81" s="1" t="str">
        <f>CONCATENATE(Table1[[#This Row],[name]],"_ID")</f>
        <v>mapRound75_ID</v>
      </c>
    </row>
    <row r="82" spans="1:5" x14ac:dyDescent="0.25">
      <c r="A82" s="1">
        <f t="shared" si="2"/>
        <v>80</v>
      </c>
      <c r="B82" s="1" t="str">
        <f t="shared" si="3"/>
        <v>50</v>
      </c>
      <c r="C82" s="1" t="s">
        <v>80</v>
      </c>
      <c r="D82" s="1" t="str">
        <f>CONCATENATE(C82,"_ID = $",Table1[[#This Row],[idh]])</f>
        <v>mapRound76_ID = $50</v>
      </c>
      <c r="E82" s="1" t="str">
        <f>CONCATENATE(Table1[[#This Row],[name]],"_ID")</f>
        <v>mapRound76_ID</v>
      </c>
    </row>
    <row r="83" spans="1:5" x14ac:dyDescent="0.25">
      <c r="A83" s="1">
        <f t="shared" si="2"/>
        <v>81</v>
      </c>
      <c r="B83" s="1" t="str">
        <f t="shared" si="3"/>
        <v>51</v>
      </c>
      <c r="C83" s="1" t="s">
        <v>81</v>
      </c>
      <c r="D83" s="1" t="str">
        <f>CONCATENATE(C83,"_ID = $",Table1[[#This Row],[idh]])</f>
        <v>mapRound77_ID = $51</v>
      </c>
      <c r="E83" s="1" t="str">
        <f>CONCATENATE(Table1[[#This Row],[name]],"_ID")</f>
        <v>mapRound77_ID</v>
      </c>
    </row>
    <row r="84" spans="1:5" x14ac:dyDescent="0.25">
      <c r="A84" s="1">
        <f t="shared" si="2"/>
        <v>82</v>
      </c>
      <c r="B84" s="1" t="str">
        <f t="shared" si="3"/>
        <v>52</v>
      </c>
      <c r="C84" s="1" t="s">
        <v>82</v>
      </c>
      <c r="D84" s="1" t="str">
        <f>CONCATENATE(C84,"_ID = $",Table1[[#This Row],[idh]])</f>
        <v>mapRound78_ID = $52</v>
      </c>
      <c r="E84" s="1" t="str">
        <f>CONCATENATE(Table1[[#This Row],[name]],"_ID")</f>
        <v>mapRound78_ID</v>
      </c>
    </row>
    <row r="85" spans="1:5" x14ac:dyDescent="0.25">
      <c r="A85" s="1">
        <f t="shared" si="2"/>
        <v>83</v>
      </c>
      <c r="B85" s="1" t="str">
        <f t="shared" si="3"/>
        <v>53</v>
      </c>
      <c r="C85" s="1" t="s">
        <v>83</v>
      </c>
      <c r="D85" s="1" t="str">
        <f>CONCATENATE(C85,"_ID = $",Table1[[#This Row],[idh]])</f>
        <v>mapRound79_ID = $53</v>
      </c>
      <c r="E85" s="1" t="str">
        <f>CONCATENATE(Table1[[#This Row],[name]],"_ID")</f>
        <v>mapRound79_ID</v>
      </c>
    </row>
    <row r="86" spans="1:5" x14ac:dyDescent="0.25">
      <c r="A86" s="1">
        <f t="shared" si="2"/>
        <v>84</v>
      </c>
      <c r="B86" s="1" t="str">
        <f t="shared" si="3"/>
        <v>54</v>
      </c>
      <c r="C86" s="1" t="s">
        <v>84</v>
      </c>
      <c r="D86" s="1" t="str">
        <f>CONCATENATE(C86,"_ID = $",Table1[[#This Row],[idh]])</f>
        <v>mapRound80_ID = $54</v>
      </c>
      <c r="E86" s="1" t="str">
        <f>CONCATENATE(Table1[[#This Row],[name]],"_ID")</f>
        <v>mapRound80_ID</v>
      </c>
    </row>
    <row r="87" spans="1:5" x14ac:dyDescent="0.25">
      <c r="A87" s="1">
        <f t="shared" si="2"/>
        <v>85</v>
      </c>
      <c r="B87" s="1" t="str">
        <f t="shared" si="3"/>
        <v>55</v>
      </c>
      <c r="C87" s="1" t="s">
        <v>85</v>
      </c>
      <c r="D87" s="1" t="str">
        <f>CONCATENATE(C87,"_ID = $",Table1[[#This Row],[idh]])</f>
        <v>mapUNK55_ID = $55</v>
      </c>
      <c r="E87" s="1" t="str">
        <f>CONCATENATE(Table1[[#This Row],[name]],"_ID")</f>
        <v>mapUNK55_ID</v>
      </c>
    </row>
    <row r="88" spans="1:5" x14ac:dyDescent="0.25">
      <c r="A88" s="1">
        <f t="shared" si="2"/>
        <v>86</v>
      </c>
      <c r="B88" s="1" t="str">
        <f t="shared" si="3"/>
        <v>56</v>
      </c>
      <c r="C88" s="1" t="s">
        <v>86</v>
      </c>
      <c r="D88" s="1" t="str">
        <f>CONCATENATE(C88,"_ID = $",Table1[[#This Row],[idh]])</f>
        <v>mapTractor_ID = $56</v>
      </c>
      <c r="E88" s="1" t="str">
        <f>CONCATENATE(Table1[[#This Row],[name]],"_ID")</f>
        <v>mapTractor_ID</v>
      </c>
    </row>
    <row r="89" spans="1:5" x14ac:dyDescent="0.25">
      <c r="A89" s="1">
        <f t="shared" si="2"/>
        <v>87</v>
      </c>
      <c r="B89" s="1" t="str">
        <f t="shared" si="3"/>
        <v>57</v>
      </c>
      <c r="C89" s="1" t="s">
        <v>87</v>
      </c>
      <c r="D89" s="1" t="str">
        <f>CONCATENATE(C89,"_ID = $",Table1[[#This Row],[idh]])</f>
        <v>mapShoeR_ID = $57</v>
      </c>
      <c r="E89" s="1" t="str">
        <f>CONCATENATE(Table1[[#This Row],[name]],"_ID")</f>
        <v>mapShoeR_ID</v>
      </c>
    </row>
    <row r="90" spans="1:5" x14ac:dyDescent="0.25">
      <c r="A90" s="1">
        <f t="shared" si="2"/>
        <v>88</v>
      </c>
      <c r="B90" s="1" t="str">
        <f t="shared" si="3"/>
        <v>58</v>
      </c>
      <c r="C90" s="1" t="s">
        <v>88</v>
      </c>
      <c r="D90" s="1" t="str">
        <f>CONCATENATE(C90,"_ID = $",Table1[[#This Row],[idh]])</f>
        <v>mapShoeL_ID = $58</v>
      </c>
      <c r="E90" s="1" t="str">
        <f>CONCATENATE(Table1[[#This Row],[name]],"_ID")</f>
        <v>mapShoeL_ID</v>
      </c>
    </row>
    <row r="91" spans="1:5" x14ac:dyDescent="0.25">
      <c r="A91" s="1">
        <f t="shared" si="2"/>
        <v>89</v>
      </c>
      <c r="B91" s="1" t="str">
        <f t="shared" si="3"/>
        <v>59</v>
      </c>
      <c r="C91" s="1" t="s">
        <v>89</v>
      </c>
      <c r="D91" s="1" t="str">
        <f>CONCATENATE(C91,"_ID = $",Table1[[#This Row],[idh]])</f>
        <v>mapContinue_ID = $59</v>
      </c>
      <c r="E91" s="1" t="str">
        <f>CONCATENATE(Table1[[#This Row],[name]],"_ID")</f>
        <v>mapContinue_ID</v>
      </c>
    </row>
    <row r="92" spans="1:5" x14ac:dyDescent="0.25">
      <c r="A92" s="1">
        <f t="shared" si="2"/>
        <v>90</v>
      </c>
      <c r="B92" s="1" t="str">
        <f t="shared" si="3"/>
        <v>5A</v>
      </c>
      <c r="C92" s="1" t="s">
        <v>90</v>
      </c>
      <c r="D92" s="1" t="str">
        <f>CONCATENATE(C92,"_ID = $",Table1[[#This Row],[idh]])</f>
        <v>mapFanL_ID = $5A</v>
      </c>
      <c r="E92" s="1" t="str">
        <f>CONCATENATE(Table1[[#This Row],[name]],"_ID")</f>
        <v>mapFanL_ID</v>
      </c>
    </row>
    <row r="93" spans="1:5" x14ac:dyDescent="0.25">
      <c r="A93" s="1">
        <f t="shared" si="2"/>
        <v>91</v>
      </c>
      <c r="B93" s="1" t="str">
        <f t="shared" si="3"/>
        <v>5B</v>
      </c>
      <c r="C93" s="1" t="s">
        <v>91</v>
      </c>
      <c r="D93" s="1" t="str">
        <f>CONCATENATE(C93,"_ID = $",Table1[[#This Row],[idh]])</f>
        <v>mapFanR_ID = $5B</v>
      </c>
      <c r="E93" s="1" t="str">
        <f>CONCATENATE(Table1[[#This Row],[name]],"_ID")</f>
        <v>mapFanR_ID</v>
      </c>
    </row>
    <row r="94" spans="1:5" x14ac:dyDescent="0.25">
      <c r="A94" s="1">
        <f t="shared" si="2"/>
        <v>92</v>
      </c>
      <c r="B94" s="1" t="str">
        <f t="shared" si="3"/>
        <v>5C</v>
      </c>
      <c r="C94" s="1" t="s">
        <v>92</v>
      </c>
      <c r="D94" s="1" t="str">
        <f>CONCATENATE(C94,"_ID = $",Table1[[#This Row],[idh]])</f>
        <v>mapBonus1_ID = $5C</v>
      </c>
      <c r="E94" s="1" t="str">
        <f>CONCATENATE(Table1[[#This Row],[name]],"_ID")</f>
        <v>mapBonus1_ID</v>
      </c>
    </row>
    <row r="95" spans="1:5" x14ac:dyDescent="0.25">
      <c r="A95" s="1">
        <f t="shared" si="2"/>
        <v>93</v>
      </c>
      <c r="B95" s="1" t="str">
        <f t="shared" si="3"/>
        <v>5D</v>
      </c>
      <c r="C95" s="1" t="s">
        <v>93</v>
      </c>
      <c r="D95" s="1" t="str">
        <f>CONCATENATE(C95,"_ID = $",Table1[[#This Row],[idh]])</f>
        <v>mapBonus2_ID = $5D</v>
      </c>
      <c r="E95" s="1" t="str">
        <f>CONCATENATE(Table1[[#This Row],[name]],"_ID")</f>
        <v>mapBonus2_ID</v>
      </c>
    </row>
    <row r="96" spans="1:5" x14ac:dyDescent="0.25">
      <c r="A96" s="1">
        <f t="shared" si="2"/>
        <v>94</v>
      </c>
      <c r="B96" s="1" t="str">
        <f t="shared" si="3"/>
        <v>5E</v>
      </c>
      <c r="C96" s="1" t="s">
        <v>94</v>
      </c>
      <c r="D96" s="1" t="str">
        <f>CONCATENATE(C96,"_ID = $",Table1[[#This Row],[idh]])</f>
        <v>mapBonus3_ID = $5E</v>
      </c>
      <c r="E96" s="1" t="str">
        <f>CONCATENATE(Table1[[#This Row],[name]],"_ID")</f>
        <v>mapBonus3_ID</v>
      </c>
    </row>
    <row r="97" spans="1:5" x14ac:dyDescent="0.25">
      <c r="A97" s="1">
        <f t="shared" si="2"/>
        <v>95</v>
      </c>
      <c r="B97" s="1" t="str">
        <f t="shared" si="3"/>
        <v>5F</v>
      </c>
      <c r="C97" s="1" t="s">
        <v>95</v>
      </c>
      <c r="D97" s="1" t="str">
        <f>CONCATENATE(C97,"_ID = $",Table1[[#This Row],[idh]])</f>
        <v>mapAdventure1_ID = $5F</v>
      </c>
      <c r="E97" s="1" t="str">
        <f>CONCATENATE(Table1[[#This Row],[name]],"_ID")</f>
        <v>mapAdventure1_ID</v>
      </c>
    </row>
    <row r="98" spans="1:5" x14ac:dyDescent="0.25">
      <c r="A98" s="1">
        <f t="shared" si="2"/>
        <v>96</v>
      </c>
      <c r="B98" s="1" t="str">
        <f t="shared" si="3"/>
        <v>60</v>
      </c>
      <c r="C98" s="1" t="s">
        <v>96</v>
      </c>
      <c r="D98" s="1" t="str">
        <f>CONCATENATE(C98,"_ID = $",Table1[[#This Row],[idh]])</f>
        <v>mapAdventure2_ID = $60</v>
      </c>
      <c r="E98" s="1" t="str">
        <f>CONCATENATE(Table1[[#This Row],[name]],"_ID")</f>
        <v>mapAdventure2_ID</v>
      </c>
    </row>
    <row r="99" spans="1:5" x14ac:dyDescent="0.25">
      <c r="A99" s="1">
        <f t="shared" si="2"/>
        <v>97</v>
      </c>
      <c r="B99" s="1" t="str">
        <f t="shared" si="3"/>
        <v>61</v>
      </c>
      <c r="C99" s="1" t="s">
        <v>97</v>
      </c>
      <c r="D99" s="1" t="str">
        <f>CONCATENATE(C99,"_ID = $",Table1[[#This Row],[idh]])</f>
        <v>mapOpeningStage_ID = $61</v>
      </c>
      <c r="E99" s="1" t="str">
        <f>CONCATENATE(Table1[[#This Row],[name]],"_ID")</f>
        <v>mapOpeningStage_ID</v>
      </c>
    </row>
    <row r="100" spans="1:5" x14ac:dyDescent="0.25">
      <c r="A100" s="1">
        <f t="shared" si="2"/>
        <v>98</v>
      </c>
      <c r="B100" s="1" t="str">
        <f t="shared" si="3"/>
        <v>62</v>
      </c>
      <c r="C100" s="1" t="s">
        <v>98</v>
      </c>
      <c r="D100" s="1" t="str">
        <f>CONCATENATE(C100,"_ID = $",Table1[[#This Row],[idh]])</f>
        <v>mapFloodA_ID = $62</v>
      </c>
      <c r="E100" s="1" t="str">
        <f>CONCATENATE(Table1[[#This Row],[name]],"_ID")</f>
        <v>mapFloodA_ID</v>
      </c>
    </row>
    <row r="101" spans="1:5" x14ac:dyDescent="0.25">
      <c r="A101" s="1">
        <f t="shared" si="2"/>
        <v>99</v>
      </c>
      <c r="B101" s="1" t="str">
        <f t="shared" si="3"/>
        <v>63</v>
      </c>
      <c r="C101" s="1" t="s">
        <v>99</v>
      </c>
      <c r="D101" s="1" t="str">
        <f>CONCATENATE(C101,"_ID = $",Table1[[#This Row],[idh]])</f>
        <v>mapFloodB_ID = $63</v>
      </c>
      <c r="E101" s="1" t="str">
        <f>CONCATENATE(Table1[[#This Row],[name]],"_ID")</f>
        <v>mapFloodB_ID</v>
      </c>
    </row>
    <row r="102" spans="1:5" x14ac:dyDescent="0.25">
      <c r="A102" s="1">
        <f t="shared" si="2"/>
        <v>100</v>
      </c>
      <c r="B102" s="1" t="str">
        <f t="shared" si="3"/>
        <v>64</v>
      </c>
      <c r="C102" s="1" t="s">
        <v>100</v>
      </c>
      <c r="D102" s="1" t="str">
        <f>CONCATENATE(C102,"_ID = $",Table1[[#This Row],[idh]])</f>
        <v>mapFloodC_ID = $64</v>
      </c>
      <c r="E102" s="1" t="str">
        <f>CONCATENATE(Table1[[#This Row],[name]],"_ID")</f>
        <v>mapFloodC_ID</v>
      </c>
    </row>
    <row r="103" spans="1:5" x14ac:dyDescent="0.25">
      <c r="A103" s="1">
        <f t="shared" si="2"/>
        <v>101</v>
      </c>
      <c r="B103" s="1" t="str">
        <f t="shared" si="3"/>
        <v>65</v>
      </c>
      <c r="C103" s="1" t="s">
        <v>101</v>
      </c>
      <c r="D103" s="1" t="str">
        <f>CONCATENATE(C103,"_ID = $",Table1[[#This Row],[idh]])</f>
        <v>mapRound20B_ID = $65</v>
      </c>
      <c r="E103" s="1" t="str">
        <f>CONCATENATE(Table1[[#This Row],[name]],"_ID")</f>
        <v>mapRound20B_ID</v>
      </c>
    </row>
    <row r="104" spans="1:5" x14ac:dyDescent="0.25">
      <c r="A104" s="1">
        <f t="shared" si="2"/>
        <v>102</v>
      </c>
      <c r="B104" s="1" t="str">
        <f t="shared" si="3"/>
        <v>66</v>
      </c>
      <c r="C104" s="1" t="s">
        <v>102</v>
      </c>
      <c r="D104" s="1" t="str">
        <f>CONCATENATE(C104,"_ID = $",Table1[[#This Row],[idh]])</f>
        <v>mapEnding_ID = $66</v>
      </c>
      <c r="E104" s="1" t="str">
        <f>CONCATENATE(Table1[[#This Row],[name]],"_ID")</f>
        <v>mapEnding_ID</v>
      </c>
    </row>
    <row r="105" spans="1:5" x14ac:dyDescent="0.25">
      <c r="A105" s="1">
        <f t="shared" si="2"/>
        <v>103</v>
      </c>
      <c r="B105" s="1" t="str">
        <f t="shared" si="3"/>
        <v>67</v>
      </c>
      <c r="C105" s="1" t="s">
        <v>103</v>
      </c>
      <c r="D105" s="1" t="str">
        <f>CONCATENATE(C105,"_ID = $",Table1[[#This Row],[idh]])</f>
        <v>mapRound40B_ID = $67</v>
      </c>
      <c r="E105" s="1" t="str">
        <f>CONCATENATE(Table1[[#This Row],[name]],"_ID")</f>
        <v>mapRound40B_ID</v>
      </c>
    </row>
    <row r="106" spans="1:5" x14ac:dyDescent="0.25">
      <c r="A106" s="1">
        <f t="shared" si="2"/>
        <v>104</v>
      </c>
      <c r="B106" s="1" t="str">
        <f t="shared" si="3"/>
        <v>68</v>
      </c>
      <c r="C106" s="1" t="s">
        <v>104</v>
      </c>
      <c r="D106" s="1" t="str">
        <f>CONCATENATE(C106,"_ID = $",Table1[[#This Row],[idh]])</f>
        <v>mapGameOver_ID = $68</v>
      </c>
      <c r="E106" s="1" t="str">
        <f>CONCATENATE(Table1[[#This Row],[name]],"_ID")</f>
        <v>mapGameOver_ID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</dc:creator>
  <cp:lastModifiedBy>Marcus</cp:lastModifiedBy>
  <dcterms:created xsi:type="dcterms:W3CDTF">2026-02-19T22:36:10Z</dcterms:created>
  <dcterms:modified xsi:type="dcterms:W3CDTF">2026-02-19T22:39:54Z</dcterms:modified>
</cp:coreProperties>
</file>