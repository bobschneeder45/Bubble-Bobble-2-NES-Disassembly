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ESDEV\dis\Bub2Dis\doc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5" i="1" l="1"/>
  <c r="C364" i="1"/>
  <c r="H364" i="1" s="1"/>
  <c r="I364" i="1"/>
  <c r="J364" i="1"/>
  <c r="H365" i="1"/>
  <c r="I365" i="1"/>
  <c r="J365" i="1"/>
  <c r="C366" i="1" l="1"/>
  <c r="H366" i="1" s="1"/>
  <c r="C363" i="1"/>
  <c r="H363" i="1" s="1"/>
  <c r="C362" i="1"/>
  <c r="C361" i="1"/>
  <c r="H361" i="1" s="1"/>
  <c r="C360" i="1"/>
  <c r="H360" i="1" s="1"/>
  <c r="C359" i="1"/>
  <c r="H359" i="1" s="1"/>
  <c r="C358" i="1"/>
  <c r="H358" i="1" s="1"/>
  <c r="C357" i="1"/>
  <c r="H357" i="1" s="1"/>
  <c r="C356" i="1"/>
  <c r="H356" i="1" s="1"/>
  <c r="I366" i="1"/>
  <c r="J366" i="1"/>
  <c r="I363" i="1"/>
  <c r="J363" i="1"/>
  <c r="H362" i="1"/>
  <c r="I362" i="1"/>
  <c r="J362" i="1"/>
  <c r="I361" i="1"/>
  <c r="J361" i="1"/>
  <c r="I360" i="1"/>
  <c r="J360" i="1"/>
  <c r="I359" i="1"/>
  <c r="J359" i="1"/>
  <c r="I358" i="1"/>
  <c r="J358" i="1"/>
  <c r="I357" i="1"/>
  <c r="J357" i="1"/>
  <c r="I356" i="1"/>
  <c r="J356" i="1"/>
  <c r="C355" i="1"/>
  <c r="H355" i="1" s="1"/>
  <c r="C354" i="1"/>
  <c r="H354" i="1" s="1"/>
  <c r="C353" i="1"/>
  <c r="H353" i="1" s="1"/>
  <c r="I355" i="1"/>
  <c r="J355" i="1"/>
  <c r="I354" i="1"/>
  <c r="J354" i="1"/>
  <c r="I353" i="1"/>
  <c r="J353" i="1"/>
  <c r="C352" i="1"/>
  <c r="H352" i="1" s="1"/>
  <c r="C351" i="1"/>
  <c r="H351" i="1" s="1"/>
  <c r="C350" i="1"/>
  <c r="H350" i="1" s="1"/>
  <c r="I352" i="1"/>
  <c r="J352" i="1"/>
  <c r="I351" i="1"/>
  <c r="J351" i="1"/>
  <c r="I350" i="1"/>
  <c r="J350" i="1"/>
  <c r="C349" i="1"/>
  <c r="H349" i="1" s="1"/>
  <c r="I349" i="1"/>
  <c r="J349" i="1"/>
  <c r="C348" i="1"/>
  <c r="H348" i="1" s="1"/>
  <c r="C347" i="1"/>
  <c r="H347" i="1" s="1"/>
  <c r="C346" i="1"/>
  <c r="H346" i="1" s="1"/>
  <c r="I348" i="1"/>
  <c r="J348" i="1"/>
  <c r="I347" i="1"/>
  <c r="J347" i="1"/>
  <c r="I346" i="1"/>
  <c r="J346" i="1"/>
  <c r="C123" i="1"/>
  <c r="H123" i="1" s="1"/>
  <c r="C122" i="1"/>
  <c r="H122" i="1" s="1"/>
  <c r="C121" i="1"/>
  <c r="H121" i="1" s="1"/>
  <c r="I121" i="1"/>
  <c r="J121" i="1"/>
  <c r="I122" i="1"/>
  <c r="J122" i="1"/>
  <c r="I123" i="1"/>
  <c r="J12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H211" i="1" l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C210" i="1"/>
  <c r="H210" i="1" s="1"/>
  <c r="C209" i="1"/>
  <c r="H209" i="1" s="1"/>
  <c r="C208" i="1"/>
  <c r="H208" i="1" s="1"/>
  <c r="C207" i="1"/>
  <c r="H207" i="1" s="1"/>
  <c r="C206" i="1"/>
  <c r="H206" i="1" s="1"/>
  <c r="C205" i="1"/>
  <c r="H205" i="1" s="1"/>
  <c r="C204" i="1"/>
  <c r="H204" i="1" s="1"/>
  <c r="C203" i="1"/>
  <c r="H203" i="1" s="1"/>
  <c r="C202" i="1"/>
  <c r="H202" i="1" s="1"/>
  <c r="C201" i="1"/>
  <c r="H201" i="1" s="1"/>
  <c r="C200" i="1"/>
  <c r="H200" i="1" s="1"/>
  <c r="C199" i="1"/>
  <c r="H199" i="1" s="1"/>
  <c r="C198" i="1"/>
  <c r="H198" i="1" s="1"/>
  <c r="C197" i="1"/>
  <c r="H197" i="1" s="1"/>
  <c r="C196" i="1"/>
  <c r="H196" i="1" s="1"/>
  <c r="C195" i="1"/>
  <c r="H195" i="1" s="1"/>
  <c r="C194" i="1"/>
  <c r="H194" i="1" s="1"/>
  <c r="C193" i="1"/>
  <c r="H193" i="1" s="1"/>
  <c r="C192" i="1"/>
  <c r="H192" i="1" s="1"/>
  <c r="C191" i="1"/>
  <c r="H191" i="1" s="1"/>
  <c r="C190" i="1"/>
  <c r="H190" i="1" s="1"/>
  <c r="C189" i="1"/>
  <c r="H189" i="1" s="1"/>
  <c r="C188" i="1"/>
  <c r="H188" i="1" s="1"/>
  <c r="C187" i="1"/>
  <c r="H187" i="1" s="1"/>
  <c r="C186" i="1"/>
  <c r="H186" i="1" s="1"/>
  <c r="C185" i="1"/>
  <c r="H185" i="1" s="1"/>
  <c r="C184" i="1"/>
  <c r="H184" i="1" s="1"/>
  <c r="C183" i="1"/>
  <c r="H183" i="1" s="1"/>
  <c r="C182" i="1"/>
  <c r="H182" i="1" s="1"/>
  <c r="C181" i="1"/>
  <c r="H181" i="1" s="1"/>
  <c r="C180" i="1"/>
  <c r="H180" i="1" s="1"/>
  <c r="C179" i="1"/>
  <c r="H179" i="1" s="1"/>
  <c r="C178" i="1"/>
  <c r="H178" i="1" s="1"/>
  <c r="C177" i="1"/>
  <c r="H177" i="1" s="1"/>
  <c r="C176" i="1"/>
  <c r="H176" i="1" s="1"/>
  <c r="C175" i="1"/>
  <c r="H175" i="1" s="1"/>
  <c r="C174" i="1"/>
  <c r="H174" i="1" s="1"/>
  <c r="C173" i="1"/>
  <c r="H173" i="1" s="1"/>
  <c r="C172" i="1"/>
  <c r="H172" i="1" s="1"/>
  <c r="C171" i="1"/>
  <c r="H171" i="1" s="1"/>
  <c r="C170" i="1"/>
  <c r="H170" i="1" s="1"/>
  <c r="C169" i="1"/>
  <c r="H169" i="1" s="1"/>
  <c r="C168" i="1"/>
  <c r="H168" i="1" s="1"/>
  <c r="C167" i="1"/>
  <c r="H167" i="1" s="1"/>
  <c r="C166" i="1"/>
  <c r="H166" i="1" s="1"/>
  <c r="C165" i="1"/>
  <c r="H165" i="1" s="1"/>
  <c r="C164" i="1"/>
  <c r="H164" i="1" s="1"/>
  <c r="C163" i="1"/>
  <c r="H163" i="1" s="1"/>
  <c r="C162" i="1"/>
  <c r="H162" i="1" s="1"/>
  <c r="C161" i="1"/>
  <c r="H161" i="1" s="1"/>
  <c r="C160" i="1"/>
  <c r="H160" i="1" s="1"/>
  <c r="C159" i="1"/>
  <c r="H159" i="1" s="1"/>
  <c r="C158" i="1"/>
  <c r="H158" i="1" s="1"/>
  <c r="C157" i="1"/>
  <c r="H157" i="1" s="1"/>
  <c r="C156" i="1"/>
  <c r="H156" i="1" s="1"/>
  <c r="C155" i="1"/>
  <c r="H155" i="1" s="1"/>
  <c r="C154" i="1"/>
  <c r="H154" i="1" s="1"/>
  <c r="C153" i="1"/>
  <c r="H153" i="1" s="1"/>
  <c r="C152" i="1"/>
  <c r="H152" i="1" s="1"/>
  <c r="C151" i="1"/>
  <c r="H151" i="1" s="1"/>
  <c r="C150" i="1"/>
  <c r="H150" i="1" s="1"/>
  <c r="C149" i="1"/>
  <c r="H149" i="1" s="1"/>
  <c r="C148" i="1"/>
  <c r="H148" i="1" s="1"/>
  <c r="C147" i="1"/>
  <c r="H147" i="1" s="1"/>
  <c r="C146" i="1"/>
  <c r="H146" i="1" s="1"/>
  <c r="C145" i="1"/>
  <c r="H145" i="1" s="1"/>
  <c r="C144" i="1"/>
  <c r="H144" i="1" s="1"/>
  <c r="C143" i="1"/>
  <c r="H143" i="1" s="1"/>
  <c r="C142" i="1"/>
  <c r="H142" i="1" s="1"/>
  <c r="C141" i="1"/>
  <c r="H141" i="1" s="1"/>
  <c r="C140" i="1"/>
  <c r="H140" i="1" s="1"/>
  <c r="C139" i="1"/>
  <c r="H139" i="1" s="1"/>
  <c r="C138" i="1"/>
  <c r="H138" i="1" s="1"/>
  <c r="C137" i="1"/>
  <c r="H137" i="1" s="1"/>
  <c r="C136" i="1"/>
  <c r="H136" i="1" s="1"/>
  <c r="C135" i="1"/>
  <c r="H135" i="1" s="1"/>
  <c r="C134" i="1"/>
  <c r="H134" i="1" s="1"/>
  <c r="C133" i="1"/>
  <c r="H133" i="1" s="1"/>
  <c r="C132" i="1"/>
  <c r="H132" i="1" s="1"/>
  <c r="C131" i="1"/>
  <c r="H131" i="1" s="1"/>
  <c r="C130" i="1"/>
  <c r="H130" i="1" s="1"/>
  <c r="C129" i="1"/>
  <c r="H129" i="1" s="1"/>
  <c r="C128" i="1"/>
  <c r="H128" i="1" s="1"/>
  <c r="C127" i="1"/>
  <c r="H127" i="1" s="1"/>
  <c r="C126" i="1"/>
  <c r="H126" i="1" s="1"/>
  <c r="C125" i="1"/>
  <c r="H125" i="1" s="1"/>
  <c r="C124" i="1"/>
  <c r="H124" i="1" s="1"/>
  <c r="C120" i="1"/>
  <c r="H120" i="1" s="1"/>
  <c r="C119" i="1"/>
  <c r="H119" i="1" s="1"/>
  <c r="C118" i="1"/>
  <c r="H118" i="1" s="1"/>
  <c r="C117" i="1"/>
  <c r="H117" i="1" s="1"/>
  <c r="C116" i="1"/>
  <c r="H116" i="1" s="1"/>
  <c r="C115" i="1"/>
  <c r="H115" i="1" s="1"/>
  <c r="C114" i="1"/>
  <c r="H114" i="1" s="1"/>
  <c r="C113" i="1"/>
  <c r="H113" i="1" s="1"/>
  <c r="C112" i="1"/>
  <c r="H112" i="1" s="1"/>
  <c r="C111" i="1"/>
  <c r="H111" i="1" s="1"/>
  <c r="C110" i="1"/>
  <c r="H110" i="1" s="1"/>
  <c r="C109" i="1"/>
  <c r="H109" i="1" s="1"/>
  <c r="C108" i="1"/>
  <c r="H108" i="1" s="1"/>
  <c r="C107" i="1"/>
  <c r="H107" i="1" s="1"/>
  <c r="C106" i="1"/>
  <c r="H106" i="1" s="1"/>
  <c r="C105" i="1"/>
  <c r="H105" i="1" s="1"/>
  <c r="C104" i="1"/>
  <c r="H104" i="1" s="1"/>
  <c r="C103" i="1"/>
  <c r="H103" i="1" s="1"/>
  <c r="C102" i="1"/>
  <c r="H102" i="1" s="1"/>
  <c r="C101" i="1"/>
  <c r="H101" i="1" s="1"/>
  <c r="C100" i="1"/>
  <c r="H100" i="1" s="1"/>
  <c r="C99" i="1"/>
  <c r="H99" i="1" s="1"/>
  <c r="C98" i="1"/>
  <c r="H98" i="1" s="1"/>
  <c r="C97" i="1"/>
  <c r="H97" i="1" s="1"/>
  <c r="C96" i="1"/>
  <c r="H96" i="1" s="1"/>
  <c r="C95" i="1"/>
  <c r="H95" i="1" s="1"/>
  <c r="C94" i="1"/>
  <c r="H94" i="1" s="1"/>
  <c r="C93" i="1"/>
  <c r="H93" i="1" s="1"/>
  <c r="C92" i="1"/>
  <c r="H92" i="1" s="1"/>
  <c r="C91" i="1"/>
  <c r="H91" i="1" s="1"/>
  <c r="C90" i="1"/>
  <c r="H90" i="1" s="1"/>
  <c r="C89" i="1"/>
  <c r="H89" i="1" s="1"/>
  <c r="C88" i="1"/>
  <c r="H88" i="1" s="1"/>
  <c r="C87" i="1"/>
  <c r="H87" i="1" s="1"/>
  <c r="C86" i="1"/>
  <c r="H86" i="1" s="1"/>
  <c r="C85" i="1"/>
  <c r="H85" i="1" s="1"/>
  <c r="C84" i="1"/>
  <c r="H84" i="1" s="1"/>
  <c r="C83" i="1"/>
  <c r="H83" i="1" s="1"/>
  <c r="C82" i="1"/>
  <c r="H82" i="1" s="1"/>
  <c r="C81" i="1"/>
  <c r="H81" i="1" s="1"/>
  <c r="C80" i="1"/>
  <c r="H80" i="1" s="1"/>
  <c r="C79" i="1"/>
  <c r="H79" i="1" s="1"/>
  <c r="C78" i="1"/>
  <c r="H78" i="1" s="1"/>
  <c r="C77" i="1"/>
  <c r="H77" i="1" s="1"/>
  <c r="C76" i="1"/>
  <c r="H76" i="1" s="1"/>
  <c r="C75" i="1"/>
  <c r="H75" i="1" s="1"/>
  <c r="C74" i="1"/>
  <c r="H74" i="1" s="1"/>
  <c r="C73" i="1"/>
  <c r="H73" i="1" s="1"/>
  <c r="C72" i="1"/>
  <c r="H72" i="1" s="1"/>
  <c r="C71" i="1"/>
  <c r="H71" i="1" s="1"/>
  <c r="C70" i="1"/>
  <c r="H70" i="1" s="1"/>
  <c r="C69" i="1"/>
  <c r="H69" i="1" s="1"/>
  <c r="C68" i="1"/>
  <c r="H68" i="1" s="1"/>
  <c r="C67" i="1"/>
  <c r="H67" i="1" s="1"/>
  <c r="C66" i="1"/>
  <c r="H66" i="1" s="1"/>
  <c r="C65" i="1"/>
  <c r="H65" i="1" s="1"/>
  <c r="C64" i="1"/>
  <c r="H64" i="1" s="1"/>
  <c r="C63" i="1"/>
  <c r="H63" i="1" s="1"/>
  <c r="C62" i="1"/>
  <c r="H62" i="1" s="1"/>
  <c r="C61" i="1"/>
  <c r="H61" i="1" s="1"/>
  <c r="C60" i="1"/>
  <c r="H60" i="1" s="1"/>
  <c r="C59" i="1"/>
  <c r="H59" i="1" s="1"/>
  <c r="C58" i="1"/>
  <c r="H58" i="1" s="1"/>
  <c r="C57" i="1"/>
  <c r="H57" i="1" s="1"/>
  <c r="C56" i="1"/>
  <c r="H56" i="1" s="1"/>
  <c r="C55" i="1"/>
  <c r="H55" i="1" s="1"/>
  <c r="C54" i="1"/>
  <c r="H54" i="1" s="1"/>
  <c r="C53" i="1"/>
  <c r="H53" i="1" s="1"/>
  <c r="C52" i="1"/>
  <c r="H52" i="1" s="1"/>
  <c r="C51" i="1"/>
  <c r="H51" i="1" s="1"/>
  <c r="C50" i="1"/>
  <c r="H50" i="1" s="1"/>
  <c r="C49" i="1"/>
  <c r="H49" i="1" s="1"/>
  <c r="C48" i="1"/>
  <c r="H48" i="1" s="1"/>
  <c r="C47" i="1"/>
  <c r="H47" i="1" s="1"/>
  <c r="C46" i="1"/>
  <c r="H46" i="1" s="1"/>
  <c r="C45" i="1"/>
  <c r="H45" i="1" s="1"/>
  <c r="C44" i="1"/>
  <c r="H44" i="1" s="1"/>
  <c r="C43" i="1"/>
  <c r="H43" i="1" s="1"/>
  <c r="C42" i="1"/>
  <c r="H42" i="1" s="1"/>
  <c r="C41" i="1"/>
  <c r="H41" i="1" s="1"/>
  <c r="C40" i="1"/>
  <c r="H40" i="1" s="1"/>
  <c r="C39" i="1"/>
  <c r="H39" i="1" s="1"/>
  <c r="C38" i="1"/>
  <c r="H38" i="1" s="1"/>
  <c r="C37" i="1"/>
  <c r="H37" i="1" s="1"/>
  <c r="C36" i="1"/>
  <c r="H36" i="1" s="1"/>
  <c r="C35" i="1"/>
  <c r="H35" i="1" s="1"/>
  <c r="C34" i="1"/>
  <c r="H34" i="1" s="1"/>
  <c r="C33" i="1"/>
  <c r="H33" i="1" s="1"/>
  <c r="C32" i="1"/>
  <c r="H32" i="1" s="1"/>
  <c r="C31" i="1"/>
  <c r="H31" i="1" s="1"/>
  <c r="C30" i="1"/>
  <c r="H30" i="1" s="1"/>
  <c r="C29" i="1"/>
  <c r="H29" i="1" s="1"/>
  <c r="C28" i="1"/>
  <c r="H28" i="1" s="1"/>
  <c r="C27" i="1"/>
  <c r="H27" i="1" s="1"/>
  <c r="C26" i="1"/>
  <c r="H26" i="1" s="1"/>
  <c r="C25" i="1"/>
  <c r="H25" i="1" s="1"/>
  <c r="C24" i="1"/>
  <c r="H24" i="1" s="1"/>
  <c r="C23" i="1"/>
  <c r="H23" i="1" s="1"/>
  <c r="C22" i="1"/>
  <c r="H22" i="1" s="1"/>
  <c r="C21" i="1"/>
  <c r="H21" i="1" s="1"/>
  <c r="C20" i="1"/>
  <c r="H20" i="1" s="1"/>
  <c r="C19" i="1"/>
  <c r="H19" i="1" s="1"/>
  <c r="C18" i="1"/>
  <c r="H18" i="1" s="1"/>
  <c r="C17" i="1"/>
  <c r="H17" i="1" s="1"/>
  <c r="C16" i="1"/>
  <c r="H16" i="1" s="1"/>
  <c r="C15" i="1"/>
  <c r="H15" i="1" s="1"/>
  <c r="C14" i="1"/>
  <c r="H14" i="1" s="1"/>
  <c r="C13" i="1"/>
  <c r="H13" i="1" s="1"/>
  <c r="C12" i="1"/>
  <c r="H12" i="1" s="1"/>
  <c r="C11" i="1"/>
  <c r="H11" i="1" s="1"/>
  <c r="C10" i="1"/>
  <c r="H10" i="1" s="1"/>
  <c r="C9" i="1"/>
  <c r="H9" i="1" s="1"/>
  <c r="C8" i="1"/>
  <c r="H8" i="1" s="1"/>
  <c r="C7" i="1"/>
  <c r="H7" i="1" s="1"/>
  <c r="C6" i="1"/>
  <c r="H6" i="1" s="1"/>
  <c r="C5" i="1"/>
  <c r="H5" i="1" s="1"/>
  <c r="C4" i="1"/>
  <c r="H4" i="1" s="1"/>
  <c r="C3" i="1"/>
  <c r="H3" i="1" s="1"/>
  <c r="C2" i="1"/>
  <c r="H2" i="1" s="1"/>
</calcChain>
</file>

<file path=xl/sharedStrings.xml><?xml version="1.0" encoding="utf-8"?>
<sst xmlns="http://schemas.openxmlformats.org/spreadsheetml/2006/main" count="2199" uniqueCount="740">
  <si>
    <t>start</t>
  </si>
  <si>
    <t>end</t>
  </si>
  <si>
    <t>name</t>
  </si>
  <si>
    <t>mapBlank</t>
  </si>
  <si>
    <t>macBlank</t>
  </si>
  <si>
    <t>macTitle</t>
  </si>
  <si>
    <t>mapTitle</t>
  </si>
  <si>
    <t>macTaito</t>
  </si>
  <si>
    <t>mapTaito</t>
  </si>
  <si>
    <t>macOpeningSkulls</t>
  </si>
  <si>
    <t>mapOpeningSkulls</t>
  </si>
  <si>
    <t>macOpeningTree</t>
  </si>
  <si>
    <t>mapOpeningTree</t>
  </si>
  <si>
    <t>macWorld1</t>
  </si>
  <si>
    <t>mapRound01</t>
  </si>
  <si>
    <t>mapRound02</t>
  </si>
  <si>
    <t>mapRound03</t>
  </si>
  <si>
    <t>mapRound04</t>
  </si>
  <si>
    <t>mapRound05</t>
  </si>
  <si>
    <t>mapRound06</t>
  </si>
  <si>
    <t>mapRound07</t>
  </si>
  <si>
    <t>mapRound08</t>
  </si>
  <si>
    <t>mapRound09</t>
  </si>
  <si>
    <t>mapRound10</t>
  </si>
  <si>
    <t>mapRound11</t>
  </si>
  <si>
    <t>mapRound12</t>
  </si>
  <si>
    <t>mapRound13</t>
  </si>
  <si>
    <t>mapRound14</t>
  </si>
  <si>
    <t>mapRound15</t>
  </si>
  <si>
    <t>mapRound16</t>
  </si>
  <si>
    <t>mapRound17</t>
  </si>
  <si>
    <t>mapRound18</t>
  </si>
  <si>
    <t>mapRound19</t>
  </si>
  <si>
    <t>macBoss</t>
  </si>
  <si>
    <t>mapRound20</t>
  </si>
  <si>
    <t>mapRound21</t>
  </si>
  <si>
    <t>mapRound22</t>
  </si>
  <si>
    <t>mapRound23</t>
  </si>
  <si>
    <t>mapRound24</t>
  </si>
  <si>
    <t>mapRound25</t>
  </si>
  <si>
    <t>mapRound26</t>
  </si>
  <si>
    <t>mapRound27</t>
  </si>
  <si>
    <t>mapRound28</t>
  </si>
  <si>
    <t>mapRound29</t>
  </si>
  <si>
    <t>mapRound30</t>
  </si>
  <si>
    <t>mapRound31</t>
  </si>
  <si>
    <t>mapRound32</t>
  </si>
  <si>
    <t>mapRound33</t>
  </si>
  <si>
    <t>mapRound34</t>
  </si>
  <si>
    <t>mapRound35</t>
  </si>
  <si>
    <t>mapRound36</t>
  </si>
  <si>
    <t>mapRound37</t>
  </si>
  <si>
    <t>mapRound38</t>
  </si>
  <si>
    <t>mapRound39</t>
  </si>
  <si>
    <t>mapRound40</t>
  </si>
  <si>
    <t>macWorld3</t>
  </si>
  <si>
    <t>mapRound41</t>
  </si>
  <si>
    <t>mapRound42</t>
  </si>
  <si>
    <t>mapRound43</t>
  </si>
  <si>
    <t>mapRound44</t>
  </si>
  <si>
    <t>mapRound45</t>
  </si>
  <si>
    <t>mapRound46</t>
  </si>
  <si>
    <t>mapRound47</t>
  </si>
  <si>
    <t>mapRound48</t>
  </si>
  <si>
    <t>mapRound49</t>
  </si>
  <si>
    <t>mapRound50</t>
  </si>
  <si>
    <t>mapRound51</t>
  </si>
  <si>
    <t>mapRound52</t>
  </si>
  <si>
    <t>mapRound53</t>
  </si>
  <si>
    <t>mapRound54</t>
  </si>
  <si>
    <t>mapRound55</t>
  </si>
  <si>
    <t>mapRound56</t>
  </si>
  <si>
    <t>mapRound57</t>
  </si>
  <si>
    <t>mapRound58</t>
  </si>
  <si>
    <t>mapRound59</t>
  </si>
  <si>
    <t>mapRound60</t>
  </si>
  <si>
    <t>macWorld4</t>
  </si>
  <si>
    <t>mapRound61</t>
  </si>
  <si>
    <t>mapRound62</t>
  </si>
  <si>
    <t>mapRound63</t>
  </si>
  <si>
    <t>mapRound64</t>
  </si>
  <si>
    <t>mapRound65</t>
  </si>
  <si>
    <t>mapRound66</t>
  </si>
  <si>
    <t>mapRound67</t>
  </si>
  <si>
    <t>mapRound68</t>
  </si>
  <si>
    <t>mapRound69</t>
  </si>
  <si>
    <t>mapRound70</t>
  </si>
  <si>
    <t>mapRound71</t>
  </si>
  <si>
    <t>mapRound72</t>
  </si>
  <si>
    <t>mapRound73</t>
  </si>
  <si>
    <t>mapRound74</t>
  </si>
  <si>
    <t>mapRound75</t>
  </si>
  <si>
    <t>mapRound76</t>
  </si>
  <si>
    <t>mapRound77</t>
  </si>
  <si>
    <t>mapRound78</t>
  </si>
  <si>
    <t>mapRound79</t>
  </si>
  <si>
    <t>macTractor</t>
  </si>
  <si>
    <t>mapTractor</t>
  </si>
  <si>
    <t>macShoeR</t>
  </si>
  <si>
    <t>mapShoe</t>
  </si>
  <si>
    <t>macShoeL</t>
  </si>
  <si>
    <t>macGameOver</t>
  </si>
  <si>
    <t>mapGameOver</t>
  </si>
  <si>
    <t>macFanL</t>
  </si>
  <si>
    <t>macFanR</t>
  </si>
  <si>
    <t>mapFan</t>
  </si>
  <si>
    <t>macBonus</t>
  </si>
  <si>
    <t>mapBonus1</t>
  </si>
  <si>
    <t>mapBonus2</t>
  </si>
  <si>
    <t>mapBonus3</t>
  </si>
  <si>
    <t>macAdventure</t>
  </si>
  <si>
    <t>mapAdventure</t>
  </si>
  <si>
    <t>macOpeningStage</t>
  </si>
  <si>
    <t>mapOpeningStage</t>
  </si>
  <si>
    <t>macFlood</t>
  </si>
  <si>
    <t>mapFloodA</t>
  </si>
  <si>
    <t>mapFloodB</t>
  </si>
  <si>
    <t>mapFloodC</t>
  </si>
  <si>
    <t>macEnding</t>
  </si>
  <si>
    <t>mapEnding</t>
  </si>
  <si>
    <t>mapRound40B</t>
  </si>
  <si>
    <t>bin</t>
  </si>
  <si>
    <t>ext</t>
  </si>
  <si>
    <t>rom</t>
  </si>
  <si>
    <t>us</t>
  </si>
  <si>
    <t>mapRound55_JP</t>
  </si>
  <si>
    <t>jp</t>
  </si>
  <si>
    <t>20010</t>
  </si>
  <si>
    <t>20410</t>
  </si>
  <si>
    <t>20810</t>
  </si>
  <si>
    <t>20C10</t>
  </si>
  <si>
    <t>21010</t>
  </si>
  <si>
    <t>21410</t>
  </si>
  <si>
    <t>21810</t>
  </si>
  <si>
    <t>21C10</t>
  </si>
  <si>
    <t>22010</t>
  </si>
  <si>
    <t>22410</t>
  </si>
  <si>
    <t>22810</t>
  </si>
  <si>
    <t>22C10</t>
  </si>
  <si>
    <t>23010</t>
  </si>
  <si>
    <t>23410</t>
  </si>
  <si>
    <t>23810</t>
  </si>
  <si>
    <t>23C10</t>
  </si>
  <si>
    <t>24010</t>
  </si>
  <si>
    <t>24410</t>
  </si>
  <si>
    <t>24810</t>
  </si>
  <si>
    <t>24C10</t>
  </si>
  <si>
    <t>25010</t>
  </si>
  <si>
    <t>25410</t>
  </si>
  <si>
    <t>25810</t>
  </si>
  <si>
    <t>25C10</t>
  </si>
  <si>
    <t>26010</t>
  </si>
  <si>
    <t>26410</t>
  </si>
  <si>
    <t>26810</t>
  </si>
  <si>
    <t>26C10</t>
  </si>
  <si>
    <t>27010</t>
  </si>
  <si>
    <t>27410</t>
  </si>
  <si>
    <t>27810</t>
  </si>
  <si>
    <t>27C10</t>
  </si>
  <si>
    <t>28010</t>
  </si>
  <si>
    <t>28410</t>
  </si>
  <si>
    <t>28810</t>
  </si>
  <si>
    <t>28C10</t>
  </si>
  <si>
    <t>29010</t>
  </si>
  <si>
    <t>29410</t>
  </si>
  <si>
    <t>29810</t>
  </si>
  <si>
    <t>29C10</t>
  </si>
  <si>
    <t>2A010</t>
  </si>
  <si>
    <t>2A410</t>
  </si>
  <si>
    <t>2A810</t>
  </si>
  <si>
    <t>2AC10</t>
  </si>
  <si>
    <t>2B010</t>
  </si>
  <si>
    <t>2B410</t>
  </si>
  <si>
    <t>2B810</t>
  </si>
  <si>
    <t>2BC10</t>
  </si>
  <si>
    <t>2C010</t>
  </si>
  <si>
    <t>2C410</t>
  </si>
  <si>
    <t>2C810</t>
  </si>
  <si>
    <t>2CC10</t>
  </si>
  <si>
    <t>2D010</t>
  </si>
  <si>
    <t>2D410</t>
  </si>
  <si>
    <t>2D810</t>
  </si>
  <si>
    <t>2DC10</t>
  </si>
  <si>
    <t>2E010</t>
  </si>
  <si>
    <t>2E410</t>
  </si>
  <si>
    <t>2E810</t>
  </si>
  <si>
    <t>2EC10</t>
  </si>
  <si>
    <t>2F010</t>
  </si>
  <si>
    <t>2F410</t>
  </si>
  <si>
    <t>2F810</t>
  </si>
  <si>
    <t>2FC10</t>
  </si>
  <si>
    <t>30010</t>
  </si>
  <si>
    <t>30410</t>
  </si>
  <si>
    <t>30810</t>
  </si>
  <si>
    <t>30C10</t>
  </si>
  <si>
    <t>31010</t>
  </si>
  <si>
    <t>31410</t>
  </si>
  <si>
    <t>31810</t>
  </si>
  <si>
    <t>31C10</t>
  </si>
  <si>
    <t>32010</t>
  </si>
  <si>
    <t>32410</t>
  </si>
  <si>
    <t>32810</t>
  </si>
  <si>
    <t>32C10</t>
  </si>
  <si>
    <t>33010</t>
  </si>
  <si>
    <t>33410</t>
  </si>
  <si>
    <t>33810</t>
  </si>
  <si>
    <t>33C10</t>
  </si>
  <si>
    <t>34010</t>
  </si>
  <si>
    <t>34410</t>
  </si>
  <si>
    <t>34810</t>
  </si>
  <si>
    <t>34C10</t>
  </si>
  <si>
    <t>35010</t>
  </si>
  <si>
    <t>35410</t>
  </si>
  <si>
    <t>35810</t>
  </si>
  <si>
    <t>35C10</t>
  </si>
  <si>
    <t>36010</t>
  </si>
  <si>
    <t>36410</t>
  </si>
  <si>
    <t>36810</t>
  </si>
  <si>
    <t>36C10</t>
  </si>
  <si>
    <t>37010</t>
  </si>
  <si>
    <t>37410</t>
  </si>
  <si>
    <t>37810</t>
  </si>
  <si>
    <t>37C10</t>
  </si>
  <si>
    <t>38010</t>
  </si>
  <si>
    <t>38410</t>
  </si>
  <si>
    <t>38810</t>
  </si>
  <si>
    <t>38C10</t>
  </si>
  <si>
    <t>39010</t>
  </si>
  <si>
    <t>39410</t>
  </si>
  <si>
    <t>39810</t>
  </si>
  <si>
    <t>39C10</t>
  </si>
  <si>
    <t>3A010</t>
  </si>
  <si>
    <t>3A410</t>
  </si>
  <si>
    <t>3A810</t>
  </si>
  <si>
    <t>3AC10</t>
  </si>
  <si>
    <t>3B010</t>
  </si>
  <si>
    <t>3B410</t>
  </si>
  <si>
    <t>3B810</t>
  </si>
  <si>
    <t>3BC10</t>
  </si>
  <si>
    <t>3C010</t>
  </si>
  <si>
    <t>3C410</t>
  </si>
  <si>
    <t>3C810</t>
  </si>
  <si>
    <t>3CC10</t>
  </si>
  <si>
    <t>3D010</t>
  </si>
  <si>
    <t>3D410</t>
  </si>
  <si>
    <t>3D810</t>
  </si>
  <si>
    <t>3DC10</t>
  </si>
  <si>
    <t>3E010</t>
  </si>
  <si>
    <t>3E410</t>
  </si>
  <si>
    <t>3E810</t>
  </si>
  <si>
    <t>3EC10</t>
  </si>
  <si>
    <t>3F010</t>
  </si>
  <si>
    <t>3F410</t>
  </si>
  <si>
    <t>3F810</t>
  </si>
  <si>
    <t>3FC10</t>
  </si>
  <si>
    <t>size</t>
  </si>
  <si>
    <t>400</t>
  </si>
  <si>
    <t>chr</t>
  </si>
  <si>
    <t>chrOldTitle_A</t>
  </si>
  <si>
    <t>chrOldTitle_B</t>
  </si>
  <si>
    <t>chrOldTitle_C</t>
  </si>
  <si>
    <t>chrOldTitle_D</t>
  </si>
  <si>
    <t>chrTaito_A</t>
  </si>
  <si>
    <t>chrTaito_B</t>
  </si>
  <si>
    <t>chrIntroStage_A</t>
  </si>
  <si>
    <t>chrIntroStage_B</t>
  </si>
  <si>
    <t>chrIntroSkull_A</t>
  </si>
  <si>
    <t>chrIntroSkull_B</t>
  </si>
  <si>
    <t>chrIntroTree_A</t>
  </si>
  <si>
    <t>chrIntroTree_B</t>
  </si>
  <si>
    <t>chrIntroActors_A</t>
  </si>
  <si>
    <t>chrIntroActors_B</t>
  </si>
  <si>
    <t>chrSmallFont_A</t>
  </si>
  <si>
    <t>chrSmallFont_B</t>
  </si>
  <si>
    <t>chrTallFont_A</t>
  </si>
  <si>
    <t>chrTallFont_B</t>
  </si>
  <si>
    <t>chrGiantTower_AA</t>
  </si>
  <si>
    <t>chrGiantTower_AB</t>
  </si>
  <si>
    <t>chrGiantTower_BA</t>
  </si>
  <si>
    <t>chrGiantTower_BB</t>
  </si>
  <si>
    <t>chrGiantTower_CA</t>
  </si>
  <si>
    <t>chrGiantTower_CB</t>
  </si>
  <si>
    <t>chrFans_AA</t>
  </si>
  <si>
    <t>chrFans_AB</t>
  </si>
  <si>
    <t>chrFans_BA</t>
  </si>
  <si>
    <t>chrFans_BB</t>
  </si>
  <si>
    <t>chrFans_CA</t>
  </si>
  <si>
    <t>chrFans_CB</t>
  </si>
  <si>
    <t>chrBoomtown_A</t>
  </si>
  <si>
    <t>chrBoomtown_B</t>
  </si>
  <si>
    <t>chrShiningLake_AA</t>
  </si>
  <si>
    <t>chrShiningLake_AB</t>
  </si>
  <si>
    <t>chrShiningLake_BA</t>
  </si>
  <si>
    <t>chrShiningLake_BB</t>
  </si>
  <si>
    <t>chrShiningLake_CA</t>
  </si>
  <si>
    <t>chrShiningLake_CB</t>
  </si>
  <si>
    <t>chrFireCastle_AA</t>
  </si>
  <si>
    <t>chrFireCastle_AB</t>
  </si>
  <si>
    <t>chrFireCastle_BA</t>
  </si>
  <si>
    <t>chrFireCastle_BB</t>
  </si>
  <si>
    <t>chrBossCave_A</t>
  </si>
  <si>
    <t>chrBossCave_B</t>
  </si>
  <si>
    <t>chrItems</t>
  </si>
  <si>
    <t>chrGameOver</t>
  </si>
  <si>
    <t>chrMissileTractor_AA</t>
  </si>
  <si>
    <t>chrMissileTractor_AB</t>
  </si>
  <si>
    <t>chrMissileTractor_BA</t>
  </si>
  <si>
    <t>chrMissileTractor_BB</t>
  </si>
  <si>
    <t>chrMissileTractor_CA</t>
  </si>
  <si>
    <t>chrMissileTractor_CB</t>
  </si>
  <si>
    <t>chrBigReward_A</t>
  </si>
  <si>
    <t>chrBigReward_B</t>
  </si>
  <si>
    <t>chrPlayerTravel_A</t>
  </si>
  <si>
    <t>chrPlayerTravel_B</t>
  </si>
  <si>
    <t>chrShoeCar_A</t>
  </si>
  <si>
    <t>chrShoeCar_B</t>
  </si>
  <si>
    <t>chrBonusRoom_A</t>
  </si>
  <si>
    <t>chrBonusRoom_B</t>
  </si>
  <si>
    <t>chrBarcelon_A</t>
  </si>
  <si>
    <t>chrBarcelon_B</t>
  </si>
  <si>
    <t>chrBonusBall_A</t>
  </si>
  <si>
    <t>chrBonusBall_B</t>
  </si>
  <si>
    <t>chrPlayer_A</t>
  </si>
  <si>
    <t>chrPlayer_B</t>
  </si>
  <si>
    <t>chrPlayer_C</t>
  </si>
  <si>
    <t>chrPlayer_D</t>
  </si>
  <si>
    <t>chrPlayer_E</t>
  </si>
  <si>
    <t>chrPlayer_F</t>
  </si>
  <si>
    <t>chrPlayer_G</t>
  </si>
  <si>
    <t>chrPlayer_H</t>
  </si>
  <si>
    <t>chrPlayer_I</t>
  </si>
  <si>
    <t>chrPlayer_J</t>
  </si>
  <si>
    <t>chrPlayer_K</t>
  </si>
  <si>
    <t>chrPlayer_L</t>
  </si>
  <si>
    <t>chrPlayer_M</t>
  </si>
  <si>
    <t>chrPlayer_N</t>
  </si>
  <si>
    <t>chrPlayer_O</t>
  </si>
  <si>
    <t>chrPlayer_P</t>
  </si>
  <si>
    <t>chrThunder</t>
  </si>
  <si>
    <t>chrSnow</t>
  </si>
  <si>
    <t>chrFire</t>
  </si>
  <si>
    <t>chrFlood</t>
  </si>
  <si>
    <t>chrWind</t>
  </si>
  <si>
    <t>chrStar</t>
  </si>
  <si>
    <t>chrZenChan</t>
  </si>
  <si>
    <t>chrBanebou</t>
  </si>
  <si>
    <t>chrBlobby</t>
  </si>
  <si>
    <t>chrPulpul</t>
  </si>
  <si>
    <t>chrNeedler</t>
  </si>
  <si>
    <t>chrInvader</t>
  </si>
  <si>
    <t>chrMonsta</t>
  </si>
  <si>
    <t>chrHeitaiKun</t>
  </si>
  <si>
    <t>chrCarryHeli</t>
  </si>
  <si>
    <t>chrFlarion</t>
  </si>
  <si>
    <t>chrSnagger</t>
  </si>
  <si>
    <t>chrMantichar</t>
  </si>
  <si>
    <t>chrRoboZen_A</t>
  </si>
  <si>
    <t>chrRoboZen_B</t>
  </si>
  <si>
    <t>chrRoboZen_C</t>
  </si>
  <si>
    <t>chrRoboZen_D</t>
  </si>
  <si>
    <t>chrTrash</t>
  </si>
  <si>
    <t>chrKirikabun</t>
  </si>
  <si>
    <t>chrTwizzer</t>
  </si>
  <si>
    <t>chrDOH</t>
  </si>
  <si>
    <t>chrDrunk_A</t>
  </si>
  <si>
    <t>chrDrunk_B</t>
  </si>
  <si>
    <t>chrSpringit_A</t>
  </si>
  <si>
    <t>chrSpringit_B</t>
  </si>
  <si>
    <t>chrChucker</t>
  </si>
  <si>
    <t>chrFree6F</t>
  </si>
  <si>
    <t>chrRuckus_A</t>
  </si>
  <si>
    <t>chrRuckus_B</t>
  </si>
  <si>
    <t>chrMadMonkey</t>
  </si>
  <si>
    <t>chrRounder</t>
  </si>
  <si>
    <t>chrRoc_A</t>
  </si>
  <si>
    <t>chrRoc_B</t>
  </si>
  <si>
    <t>chrSkullBrothers</t>
  </si>
  <si>
    <t>chrSuperDrunk</t>
  </si>
  <si>
    <t>chrFinalSkull_A</t>
  </si>
  <si>
    <t>chrFinalSkull_B</t>
  </si>
  <si>
    <t>chrEndingActors_A</t>
  </si>
  <si>
    <t>chrEndingActors_B</t>
  </si>
  <si>
    <t>chrTitleScreen_A</t>
  </si>
  <si>
    <t>chrTitleScreen_B</t>
  </si>
  <si>
    <t>chrTitleScreen_C</t>
  </si>
  <si>
    <t>chrTitleScreen_D</t>
  </si>
  <si>
    <t>chrGiantTower_BA_JP</t>
  </si>
  <si>
    <t>chrShiningLake_BA_JP</t>
  </si>
  <si>
    <t>chrBigReward_B_JP</t>
  </si>
  <si>
    <t>chrTitleScreen_A_JP</t>
  </si>
  <si>
    <t>chrTitleScreen_B_JP</t>
  </si>
  <si>
    <t>chrTitleScreen_C_JP</t>
  </si>
  <si>
    <t>chrTitleScreen_D_JP</t>
  </si>
  <si>
    <t>dir</t>
  </si>
  <si>
    <t>map</t>
  </si>
  <si>
    <t>flow</t>
  </si>
  <si>
    <t>0358</t>
  </si>
  <si>
    <t>macWorld2</t>
  </si>
  <si>
    <t>flowRound01</t>
  </si>
  <si>
    <t>flowRound02</t>
  </si>
  <si>
    <t>flowRound03</t>
  </si>
  <si>
    <t>flowRound04</t>
  </si>
  <si>
    <t>flowRound05</t>
  </si>
  <si>
    <t>flowRound06</t>
  </si>
  <si>
    <t>flowRound07</t>
  </si>
  <si>
    <t>flowRound08</t>
  </si>
  <si>
    <t>flowRound09</t>
  </si>
  <si>
    <t>flowRound10</t>
  </si>
  <si>
    <t>flowRound11</t>
  </si>
  <si>
    <t>flowRound12</t>
  </si>
  <si>
    <t>flowRound13</t>
  </si>
  <si>
    <t>flowRound14</t>
  </si>
  <si>
    <t>flowRound15</t>
  </si>
  <si>
    <t>flowRound16</t>
  </si>
  <si>
    <t>flowRound17</t>
  </si>
  <si>
    <t>flowRound18</t>
  </si>
  <si>
    <t>flowRound19</t>
  </si>
  <si>
    <t>flowRound21</t>
  </si>
  <si>
    <t>flowRound22</t>
  </si>
  <si>
    <t>flowRound23</t>
  </si>
  <si>
    <t>flowRound24</t>
  </si>
  <si>
    <t>flowRound25</t>
  </si>
  <si>
    <t>flowRound26</t>
  </si>
  <si>
    <t>flowRound27</t>
  </si>
  <si>
    <t>flowRound28</t>
  </si>
  <si>
    <t>flowRound29</t>
  </si>
  <si>
    <t>flowRound30</t>
  </si>
  <si>
    <t>flowRound31</t>
  </si>
  <si>
    <t>flowRound32</t>
  </si>
  <si>
    <t>flowRound33</t>
  </si>
  <si>
    <t>flowRound34</t>
  </si>
  <si>
    <t>flowRound35</t>
  </si>
  <si>
    <t>flowRound36</t>
  </si>
  <si>
    <t>flowRound37</t>
  </si>
  <si>
    <t>flowRound38</t>
  </si>
  <si>
    <t>flowRound39</t>
  </si>
  <si>
    <t>flowRound40</t>
  </si>
  <si>
    <t>flowRound41</t>
  </si>
  <si>
    <t>flowRound42</t>
  </si>
  <si>
    <t>flowRound43</t>
  </si>
  <si>
    <t>flowRound44</t>
  </si>
  <si>
    <t>flowRound45</t>
  </si>
  <si>
    <t>flowRound46</t>
  </si>
  <si>
    <t>flowRound47</t>
  </si>
  <si>
    <t>flowRound48</t>
  </si>
  <si>
    <t>flowRound49</t>
  </si>
  <si>
    <t>flowRound50</t>
  </si>
  <si>
    <t>flowRound51</t>
  </si>
  <si>
    <t>flowRound52</t>
  </si>
  <si>
    <t>flowRound53</t>
  </si>
  <si>
    <t>flowRound54</t>
  </si>
  <si>
    <t>flowRound55</t>
  </si>
  <si>
    <t>flowRound56</t>
  </si>
  <si>
    <t>flowRound57</t>
  </si>
  <si>
    <t>flowRound58</t>
  </si>
  <si>
    <t>flowRound59</t>
  </si>
  <si>
    <t>flowRound61</t>
  </si>
  <si>
    <t>flowRound62</t>
  </si>
  <si>
    <t>flowRound63</t>
  </si>
  <si>
    <t>flowRound64</t>
  </si>
  <si>
    <t>flowRound65</t>
  </si>
  <si>
    <t>flowRound66</t>
  </si>
  <si>
    <t>flowRound67</t>
  </si>
  <si>
    <t>flowRound68</t>
  </si>
  <si>
    <t>flowRound69</t>
  </si>
  <si>
    <t>flowRound70</t>
  </si>
  <si>
    <t>flowRound71</t>
  </si>
  <si>
    <t>flowRound72</t>
  </si>
  <si>
    <t>flowRound73</t>
  </si>
  <si>
    <t>flowRound74</t>
  </si>
  <si>
    <t>flowRound75</t>
  </si>
  <si>
    <t>flowRound76</t>
  </si>
  <si>
    <t>flowRound77</t>
  </si>
  <si>
    <t>flowRound78</t>
  </si>
  <si>
    <t>flowRound79</t>
  </si>
  <si>
    <t>flowRound03_JP</t>
  </si>
  <si>
    <t>flowRound06_JP</t>
  </si>
  <si>
    <t>flowRound15_JP</t>
  </si>
  <si>
    <t>flowRound25_JP</t>
  </si>
  <si>
    <t>flowRound26_JP</t>
  </si>
  <si>
    <t>flowRound31_JP</t>
  </si>
  <si>
    <t>flowRound35_JP</t>
  </si>
  <si>
    <t>flowRound38_JP</t>
  </si>
  <si>
    <t>flowRound72_JP</t>
  </si>
  <si>
    <t>00035D</t>
  </si>
  <si>
    <t>00044D</t>
  </si>
  <si>
    <t>004010</t>
  </si>
  <si>
    <t>00406F</t>
  </si>
  <si>
    <t>00416F</t>
  </si>
  <si>
    <t>002010</t>
  </si>
  <si>
    <t>002295</t>
  </si>
  <si>
    <t>002395</t>
  </si>
  <si>
    <t>001C4D</t>
  </si>
  <si>
    <t>001D0B</t>
  </si>
  <si>
    <t>001D2E</t>
  </si>
  <si>
    <t>001DFB</t>
  </si>
  <si>
    <t>001E1E</t>
  </si>
  <si>
    <t>00174D</t>
  </si>
  <si>
    <t>00054D</t>
  </si>
  <si>
    <t>00064D</t>
  </si>
  <si>
    <t>00074D</t>
  </si>
  <si>
    <t>00084D</t>
  </si>
  <si>
    <t>00094D</t>
  </si>
  <si>
    <t>000A4D</t>
  </si>
  <si>
    <t>000B4D</t>
  </si>
  <si>
    <t>000C4D</t>
  </si>
  <si>
    <t>000D4D</t>
  </si>
  <si>
    <t>000E4D</t>
  </si>
  <si>
    <t>000F4D</t>
  </si>
  <si>
    <t>00104D</t>
  </si>
  <si>
    <t>00114D</t>
  </si>
  <si>
    <t>00124D</t>
  </si>
  <si>
    <t>00134D</t>
  </si>
  <si>
    <t>00144D</t>
  </si>
  <si>
    <t>00154D</t>
  </si>
  <si>
    <t>00164D</t>
  </si>
  <si>
    <t>007B09</t>
  </si>
  <si>
    <t>007C99</t>
  </si>
  <si>
    <t>007649</t>
  </si>
  <si>
    <t>007849</t>
  </si>
  <si>
    <t>003695</t>
  </si>
  <si>
    <t>003B95</t>
  </si>
  <si>
    <t>002495</t>
  </si>
  <si>
    <t>002595</t>
  </si>
  <si>
    <t>002695</t>
  </si>
  <si>
    <t>002795</t>
  </si>
  <si>
    <t>002895</t>
  </si>
  <si>
    <t>002995</t>
  </si>
  <si>
    <t>002A95</t>
  </si>
  <si>
    <t>002B95</t>
  </si>
  <si>
    <t>002C95</t>
  </si>
  <si>
    <t>002D95</t>
  </si>
  <si>
    <t>002E95</t>
  </si>
  <si>
    <t>002F95</t>
  </si>
  <si>
    <t>003095</t>
  </si>
  <si>
    <t>003195</t>
  </si>
  <si>
    <t>003295</t>
  </si>
  <si>
    <t>003395</t>
  </si>
  <si>
    <t>003495</t>
  </si>
  <si>
    <t>003595</t>
  </si>
  <si>
    <t>007939</t>
  </si>
  <si>
    <t>00546F</t>
  </si>
  <si>
    <t>0057F3</t>
  </si>
  <si>
    <t>00426F</t>
  </si>
  <si>
    <t>00436F</t>
  </si>
  <si>
    <t>00446F</t>
  </si>
  <si>
    <t>00456F</t>
  </si>
  <si>
    <t>00466F</t>
  </si>
  <si>
    <t>00476F</t>
  </si>
  <si>
    <t>00486F</t>
  </si>
  <si>
    <t>00496F</t>
  </si>
  <si>
    <t>004A6F</t>
  </si>
  <si>
    <t>004B6F</t>
  </si>
  <si>
    <t>004C6F</t>
  </si>
  <si>
    <t>004D6F</t>
  </si>
  <si>
    <t>004E6F</t>
  </si>
  <si>
    <t>004F6F</t>
  </si>
  <si>
    <t>00506F</t>
  </si>
  <si>
    <t>00516F</t>
  </si>
  <si>
    <t>00526F</t>
  </si>
  <si>
    <t>00536F</t>
  </si>
  <si>
    <t>007A09</t>
  </si>
  <si>
    <t>007310</t>
  </si>
  <si>
    <t>006010</t>
  </si>
  <si>
    <t>006110</t>
  </si>
  <si>
    <t>006210</t>
  </si>
  <si>
    <t>006310</t>
  </si>
  <si>
    <t>006410</t>
  </si>
  <si>
    <t>006510</t>
  </si>
  <si>
    <t>006610</t>
  </si>
  <si>
    <t>006710</t>
  </si>
  <si>
    <t>006810</t>
  </si>
  <si>
    <t>006910</t>
  </si>
  <si>
    <t>006A10</t>
  </si>
  <si>
    <t>006B10</t>
  </si>
  <si>
    <t>006C10</t>
  </si>
  <si>
    <t>006D10</t>
  </si>
  <si>
    <t>006E10</t>
  </si>
  <si>
    <t>006F10</t>
  </si>
  <si>
    <t>007010</t>
  </si>
  <si>
    <t>007110</t>
  </si>
  <si>
    <t>007210</t>
  </si>
  <si>
    <t>00583E</t>
  </si>
  <si>
    <t>00584E</t>
  </si>
  <si>
    <t>005871</t>
  </si>
  <si>
    <t>005894</t>
  </si>
  <si>
    <t>00589A</t>
  </si>
  <si>
    <t>00594E</t>
  </si>
  <si>
    <t>005A4E</t>
  </si>
  <si>
    <t>003BAE</t>
  </si>
  <si>
    <t>003BC7</t>
  </si>
  <si>
    <t>003BCB</t>
  </si>
  <si>
    <t>005D4E</t>
  </si>
  <si>
    <t>005F29</t>
  </si>
  <si>
    <t>005B4E</t>
  </si>
  <si>
    <t>005C4E</t>
  </si>
  <si>
    <t>003CD4</t>
  </si>
  <si>
    <t>003DD4</t>
  </si>
  <si>
    <t>001EC8</t>
  </si>
  <si>
    <t>001FB8</t>
  </si>
  <si>
    <t>007CB2</t>
  </si>
  <si>
    <t>007CC2</t>
  </si>
  <si>
    <t>007CD2</t>
  </si>
  <si>
    <t>007CE2</t>
  </si>
  <si>
    <t>007EEF</t>
  </si>
  <si>
    <t>007FDF</t>
  </si>
  <si>
    <t>00C0B8</t>
  </si>
  <si>
    <t>00C0F8</t>
  </si>
  <si>
    <t>00C138</t>
  </si>
  <si>
    <t>00C178</t>
  </si>
  <si>
    <t>00C1B8</t>
  </si>
  <si>
    <t>00C1F8</t>
  </si>
  <si>
    <t>00C238</t>
  </si>
  <si>
    <t>00C278</t>
  </si>
  <si>
    <t>00C2B8</t>
  </si>
  <si>
    <t>00C2F8</t>
  </si>
  <si>
    <t>00C338</t>
  </si>
  <si>
    <t>00C378</t>
  </si>
  <si>
    <t>00C3B8</t>
  </si>
  <si>
    <t>00C3F8</t>
  </si>
  <si>
    <t>00C438</t>
  </si>
  <si>
    <t>00C478</t>
  </si>
  <si>
    <t>00C4B8</t>
  </si>
  <si>
    <t>00C4F8</t>
  </si>
  <si>
    <t>00C538</t>
  </si>
  <si>
    <t>00C578</t>
  </si>
  <si>
    <t>00C5B8</t>
  </si>
  <si>
    <t>00C5F8</t>
  </si>
  <si>
    <t>00C638</t>
  </si>
  <si>
    <t>00C678</t>
  </si>
  <si>
    <t>00C6B8</t>
  </si>
  <si>
    <t>00C6F8</t>
  </si>
  <si>
    <t>00C738</t>
  </si>
  <si>
    <t>00C778</t>
  </si>
  <si>
    <t>00C7B8</t>
  </si>
  <si>
    <t>00C7F8</t>
  </si>
  <si>
    <t>00C838</t>
  </si>
  <si>
    <t>00C878</t>
  </si>
  <si>
    <t>00C8B8</t>
  </si>
  <si>
    <t>00C8F8</t>
  </si>
  <si>
    <t>00C938</t>
  </si>
  <si>
    <t>00C978</t>
  </si>
  <si>
    <t>00C9B8</t>
  </si>
  <si>
    <t>00C9F8</t>
  </si>
  <si>
    <t>00CA38</t>
  </si>
  <si>
    <t>00CA78</t>
  </si>
  <si>
    <t>00CAB8</t>
  </si>
  <si>
    <t>00CAF8</t>
  </si>
  <si>
    <t>00CB38</t>
  </si>
  <si>
    <t>00CB78</t>
  </si>
  <si>
    <t>00CBB8</t>
  </si>
  <si>
    <t>00CBF8</t>
  </si>
  <si>
    <t>00CC38</t>
  </si>
  <si>
    <t>00CEF8</t>
  </si>
  <si>
    <t>00CF38</t>
  </si>
  <si>
    <t>00CC78</t>
  </si>
  <si>
    <t>00CCB8</t>
  </si>
  <si>
    <t>00CCF8</t>
  </si>
  <si>
    <t>00CD38</t>
  </si>
  <si>
    <t>00CD78</t>
  </si>
  <si>
    <t>00CDB8</t>
  </si>
  <si>
    <t>00CDF8</t>
  </si>
  <si>
    <t>00CE38</t>
  </si>
  <si>
    <t>00CE78</t>
  </si>
  <si>
    <t>00CEB8</t>
  </si>
  <si>
    <t>00CF78</t>
  </si>
  <si>
    <t>00CFB8</t>
  </si>
  <si>
    <t>00CFF8</t>
  </si>
  <si>
    <t>00D038</t>
  </si>
  <si>
    <t>00D078</t>
  </si>
  <si>
    <t>00D0B8</t>
  </si>
  <si>
    <t>00D0F8</t>
  </si>
  <si>
    <t>00D138</t>
  </si>
  <si>
    <t>00D178</t>
  </si>
  <si>
    <t>00D1B8</t>
  </si>
  <si>
    <t>00D1F8</t>
  </si>
  <si>
    <t>00D238</t>
  </si>
  <si>
    <t>00D278</t>
  </si>
  <si>
    <t>00D2B8</t>
  </si>
  <si>
    <t>00D2F8</t>
  </si>
  <si>
    <t>00D338</t>
  </si>
  <si>
    <t>00D378</t>
  </si>
  <si>
    <t>00D3B8</t>
  </si>
  <si>
    <t>00D3F8</t>
  </si>
  <si>
    <t>py</t>
  </si>
  <si>
    <t>inc</t>
  </si>
  <si>
    <t>label</t>
  </si>
  <si>
    <t>macTitle_JP</t>
  </si>
  <si>
    <t>mapTitle_JP</t>
  </si>
  <si>
    <t>mapAdventure_JP</t>
  </si>
  <si>
    <t>00229A</t>
  </si>
  <si>
    <t>00239A</t>
  </si>
  <si>
    <t>003CD9</t>
  </si>
  <si>
    <t>003DD9</t>
  </si>
  <si>
    <t>filler</t>
  </si>
  <si>
    <t>fill00</t>
  </si>
  <si>
    <t>fill00_JP</t>
  </si>
  <si>
    <t>fill01_JP</t>
  </si>
  <si>
    <t>fill02_JP</t>
  </si>
  <si>
    <t>fill03_JP</t>
  </si>
  <si>
    <t>fill04_JP</t>
  </si>
  <si>
    <t>fill04</t>
  </si>
  <si>
    <t>fill05_JP</t>
  </si>
  <si>
    <t>fill08_JP</t>
  </si>
  <si>
    <t>fill08</t>
  </si>
  <si>
    <t>fill09_JP</t>
  </si>
  <si>
    <t>fill0A_JP</t>
  </si>
  <si>
    <t>fill0B_JP</t>
  </si>
  <si>
    <t>fill0C_JP</t>
  </si>
  <si>
    <t>fill0C</t>
  </si>
  <si>
    <t>fill0D_JP</t>
  </si>
  <si>
    <t>fill0F_JP</t>
  </si>
  <si>
    <t>008010</t>
  </si>
  <si>
    <t>00A00E</t>
  </si>
  <si>
    <t>00A010</t>
  </si>
  <si>
    <t>00C00B</t>
  </si>
  <si>
    <t>00C010</t>
  </si>
  <si>
    <t>011FCB</t>
  </si>
  <si>
    <t>012010</t>
  </si>
  <si>
    <t>011FC0</t>
  </si>
  <si>
    <t>013F58</t>
  </si>
  <si>
    <t>014010</t>
  </si>
  <si>
    <t>015FC1</t>
  </si>
  <si>
    <t>016010</t>
  </si>
  <si>
    <t>018010</t>
  </si>
  <si>
    <t>019FAA</t>
  </si>
  <si>
    <t>01A010</t>
  </si>
  <si>
    <t>01BE24</t>
  </si>
  <si>
    <t>01C010</t>
  </si>
  <si>
    <t>01D913</t>
  </si>
  <si>
    <t>01E010</t>
  </si>
  <si>
    <t>01FFE2</t>
  </si>
  <si>
    <t>019E60</t>
  </si>
  <si>
    <t>02000A</t>
  </si>
  <si>
    <t>01CF50</t>
  </si>
  <si>
    <t>01D310</t>
  </si>
  <si>
    <t>fill0E_Engine</t>
  </si>
  <si>
    <t>fill0E_Engine_JP</t>
  </si>
  <si>
    <t>fill0E_Tracks</t>
  </si>
  <si>
    <t>fill0E_Tracks_JP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</si>
</sst>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66" totalsRowShown="0" headerRowDxfId="11" dataDxfId="10">
  <autoFilter ref="A1:J366"/>
  <tableColumns count="10">
    <tableColumn id="1" name="start" dataDxfId="9"/>
    <tableColumn id="2" name="end" dataDxfId="8"/>
    <tableColumn id="6" name="size" dataDxfId="7"/>
    <tableColumn id="3" name="name" dataDxfId="6"/>
    <tableColumn id="4" name="ext" dataDxfId="5"/>
    <tableColumn id="5" name="rom" dataDxfId="4"/>
    <tableColumn id="7" name="dir" dataDxfId="3"/>
    <tableColumn id="8" name="py" dataDxfId="2">
      <calculatedColumnFormula>CONCATENATE("bins.append(BinFile(0x",Table1[[#This Row],[start]],", 0x",Table1[[#This Row],[size]],", """,Table1[[#This Row],[name]],""", """,Table1[[#This Row],[ext]],""", """,Table1[[#This Row],[dir]],""", """,Table1[[#This Row],[rom]],"""))")</calculatedColumnFormula>
    </tableColumn>
    <tableColumn id="10" name="label" dataDxfId="1">
      <calculatedColumnFormula>CONCATENATE(Table1[[#This Row],[name]],":")</calculatedColumnFormula>
    </tableColumn>
    <tableColumn id="9" name="inc" dataDxfId="0">
      <calculatedColumnFormula>CONCATENATE(".incbin """,Table1[[#This Row],[dir]],"/",Table1[[#This Row],[name]],".",Table1[[#This Row],[ext]],"""")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6"/>
  <sheetViews>
    <sheetView tabSelected="1" topLeftCell="A338" workbookViewId="0">
      <selection activeCell="E364" sqref="E364"/>
    </sheetView>
  </sheetViews>
  <sheetFormatPr defaultRowHeight="15" x14ac:dyDescent="0.25"/>
  <cols>
    <col min="1" max="1" width="11.85546875" customWidth="1"/>
    <col min="2" max="3" width="12.42578125" customWidth="1"/>
    <col min="4" max="4" width="31" customWidth="1"/>
    <col min="8" max="8" width="73.28515625" customWidth="1"/>
    <col min="9" max="9" width="18.42578125" customWidth="1"/>
    <col min="10" max="10" width="30.85546875" customWidth="1"/>
  </cols>
  <sheetData>
    <row r="1" spans="1:10" x14ac:dyDescent="0.25">
      <c r="A1" s="1" t="s">
        <v>0</v>
      </c>
      <c r="B1" s="1" t="s">
        <v>1</v>
      </c>
      <c r="C1" s="1" t="s">
        <v>255</v>
      </c>
      <c r="D1" s="1" t="s">
        <v>2</v>
      </c>
      <c r="E1" s="1" t="s">
        <v>122</v>
      </c>
      <c r="F1" s="1" t="s">
        <v>123</v>
      </c>
      <c r="G1" s="1" t="s">
        <v>393</v>
      </c>
      <c r="H1" s="1" t="s">
        <v>684</v>
      </c>
      <c r="I1" s="1" t="s">
        <v>686</v>
      </c>
      <c r="J1" s="1" t="s">
        <v>685</v>
      </c>
    </row>
    <row r="2" spans="1:10" x14ac:dyDescent="0.25">
      <c r="A2" s="2" t="s">
        <v>396</v>
      </c>
      <c r="B2" s="2" t="s">
        <v>484</v>
      </c>
      <c r="C2" s="3" t="str">
        <f>DEC2HEX(HEX2DEC(Table1[[#This Row],[end]])-HEX2DEC(Table1[[#This Row],[start]]))</f>
        <v>5</v>
      </c>
      <c r="D2" s="1" t="s">
        <v>4</v>
      </c>
      <c r="E2" s="1" t="s">
        <v>121</v>
      </c>
      <c r="F2" s="1" t="s">
        <v>124</v>
      </c>
      <c r="G2" s="1" t="s">
        <v>394</v>
      </c>
      <c r="H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bins.append(BinFile(0x0358, 0x5, "macBlank", "bin", "map", "us"))</v>
      </c>
      <c r="I2" s="1" t="str">
        <f>CONCATENATE(Table1[[#This Row],[name]],":")</f>
        <v>macBlank:</v>
      </c>
      <c r="J2" s="1" t="str">
        <f>CONCATENATE(".incbin """,Table1[[#This Row],[dir]],"/",Table1[[#This Row],[name]],".",Table1[[#This Row],[ext]],"""")</f>
        <v>.incbin "map/macBlank.bin"</v>
      </c>
    </row>
    <row r="3" spans="1:10" x14ac:dyDescent="0.25">
      <c r="A3" s="2" t="s">
        <v>484</v>
      </c>
      <c r="B3" s="2" t="s">
        <v>485</v>
      </c>
      <c r="C3" s="3" t="str">
        <f>DEC2HEX(HEX2DEC(Table1[[#This Row],[end]])-HEX2DEC(Table1[[#This Row],[start]]))</f>
        <v>F0</v>
      </c>
      <c r="D3" s="1" t="s">
        <v>3</v>
      </c>
      <c r="E3" s="1" t="s">
        <v>121</v>
      </c>
      <c r="F3" s="1" t="s">
        <v>124</v>
      </c>
      <c r="G3" s="1" t="s">
        <v>394</v>
      </c>
      <c r="H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bins.append(BinFile(0x00035D, 0xF0, "mapBlank", "bin", "map", "us"))</v>
      </c>
      <c r="I3" s="1" t="str">
        <f>CONCATENATE(Table1[[#This Row],[name]],":")</f>
        <v>mapBlank:</v>
      </c>
      <c r="J3" s="1" t="str">
        <f>CONCATENATE(".incbin """,Table1[[#This Row],[dir]],"/",Table1[[#This Row],[name]],".",Table1[[#This Row],[ext]],"""")</f>
        <v>.incbin "map/mapBlank.bin"</v>
      </c>
    </row>
    <row r="4" spans="1:10" x14ac:dyDescent="0.25">
      <c r="A4" s="2" t="s">
        <v>486</v>
      </c>
      <c r="B4" s="2" t="s">
        <v>487</v>
      </c>
      <c r="C4" s="3" t="str">
        <f>DEC2HEX(HEX2DEC(Table1[[#This Row],[end]])-HEX2DEC(Table1[[#This Row],[start]]))</f>
        <v>5F</v>
      </c>
      <c r="D4" s="1" t="s">
        <v>7</v>
      </c>
      <c r="E4" s="1" t="s">
        <v>121</v>
      </c>
      <c r="F4" s="1" t="s">
        <v>124</v>
      </c>
      <c r="G4" s="1" t="s">
        <v>394</v>
      </c>
      <c r="H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bins.append(BinFile(0x004010, 0x5F, "macTaito", "bin", "map", "us"))</v>
      </c>
      <c r="I4" s="1" t="str">
        <f>CONCATENATE(Table1[[#This Row],[name]],":")</f>
        <v>macTaito:</v>
      </c>
      <c r="J4" s="1" t="str">
        <f>CONCATENATE(".incbin """,Table1[[#This Row],[dir]],"/",Table1[[#This Row],[name]],".",Table1[[#This Row],[ext]],"""")</f>
        <v>.incbin "map/macTaito.bin"</v>
      </c>
    </row>
    <row r="5" spans="1:10" x14ac:dyDescent="0.25">
      <c r="A5" s="2" t="s">
        <v>487</v>
      </c>
      <c r="B5" s="2" t="s">
        <v>488</v>
      </c>
      <c r="C5" s="3" t="str">
        <f>DEC2HEX(HEX2DEC(Table1[[#This Row],[end]])-HEX2DEC(Table1[[#This Row],[start]]))</f>
        <v>100</v>
      </c>
      <c r="D5" s="1" t="s">
        <v>8</v>
      </c>
      <c r="E5" s="1" t="s">
        <v>121</v>
      </c>
      <c r="F5" s="1" t="s">
        <v>124</v>
      </c>
      <c r="G5" s="1" t="s">
        <v>394</v>
      </c>
      <c r="H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bins.append(BinFile(0x00406F, 0x100, "mapTaito", "bin", "map", "us"))</v>
      </c>
      <c r="I5" s="1" t="str">
        <f>CONCATENATE(Table1[[#This Row],[name]],":")</f>
        <v>mapTaito:</v>
      </c>
      <c r="J5" s="1" t="str">
        <f>CONCATENATE(".incbin """,Table1[[#This Row],[dir]],"/",Table1[[#This Row],[name]],".",Table1[[#This Row],[ext]],"""")</f>
        <v>.incbin "map/mapTaito.bin"</v>
      </c>
    </row>
    <row r="6" spans="1:10" x14ac:dyDescent="0.25">
      <c r="A6" s="2" t="s">
        <v>489</v>
      </c>
      <c r="B6" s="2" t="s">
        <v>490</v>
      </c>
      <c r="C6" s="3" t="str">
        <f>DEC2HEX(HEX2DEC(Table1[[#This Row],[end]])-HEX2DEC(Table1[[#This Row],[start]]))</f>
        <v>285</v>
      </c>
      <c r="D6" s="1" t="s">
        <v>5</v>
      </c>
      <c r="E6" s="1" t="s">
        <v>121</v>
      </c>
      <c r="F6" s="1" t="s">
        <v>124</v>
      </c>
      <c r="G6" s="1" t="s">
        <v>394</v>
      </c>
      <c r="H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bins.append(BinFile(0x002010, 0x285, "macTitle", "bin", "map", "us"))</v>
      </c>
      <c r="I6" s="1" t="str">
        <f>CONCATENATE(Table1[[#This Row],[name]],":")</f>
        <v>macTitle:</v>
      </c>
      <c r="J6" s="1" t="str">
        <f>CONCATENATE(".incbin """,Table1[[#This Row],[dir]],"/",Table1[[#This Row],[name]],".",Table1[[#This Row],[ext]],"""")</f>
        <v>.incbin "map/macTitle.bin"</v>
      </c>
    </row>
    <row r="7" spans="1:10" x14ac:dyDescent="0.25">
      <c r="A7" s="2" t="s">
        <v>490</v>
      </c>
      <c r="B7" s="2" t="s">
        <v>491</v>
      </c>
      <c r="C7" s="3" t="str">
        <f>DEC2HEX(HEX2DEC(Table1[[#This Row],[end]])-HEX2DEC(Table1[[#This Row],[start]]))</f>
        <v>100</v>
      </c>
      <c r="D7" s="1" t="s">
        <v>6</v>
      </c>
      <c r="E7" s="1" t="s">
        <v>121</v>
      </c>
      <c r="F7" s="1" t="s">
        <v>124</v>
      </c>
      <c r="G7" s="1" t="s">
        <v>394</v>
      </c>
      <c r="H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bins.append(BinFile(0x002295, 0x100, "mapTitle", "bin", "map", "us"))</v>
      </c>
      <c r="I7" s="1" t="str">
        <f>CONCATENATE(Table1[[#This Row],[name]],":")</f>
        <v>mapTitle:</v>
      </c>
      <c r="J7" s="1" t="str">
        <f>CONCATENATE(".incbin """,Table1[[#This Row],[dir]],"/",Table1[[#This Row],[name]],".",Table1[[#This Row],[ext]],"""")</f>
        <v>.incbin "map/mapTitle.bin"</v>
      </c>
    </row>
    <row r="8" spans="1:10" x14ac:dyDescent="0.25">
      <c r="A8" s="2" t="s">
        <v>492</v>
      </c>
      <c r="B8" s="2" t="s">
        <v>493</v>
      </c>
      <c r="C8" s="3" t="str">
        <f>DEC2HEX(HEX2DEC(Table1[[#This Row],[end]])-HEX2DEC(Table1[[#This Row],[start]]))</f>
        <v>BE</v>
      </c>
      <c r="D8" s="1" t="s">
        <v>9</v>
      </c>
      <c r="E8" s="1" t="s">
        <v>121</v>
      </c>
      <c r="F8" s="1" t="s">
        <v>124</v>
      </c>
      <c r="G8" s="1" t="s">
        <v>394</v>
      </c>
      <c r="H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bins.append(BinFile(0x001C4D, 0xBE, "macOpeningSkulls", "bin", "map", "us"))</v>
      </c>
      <c r="I8" s="1" t="str">
        <f>CONCATENATE(Table1[[#This Row],[name]],":")</f>
        <v>macOpeningSkulls:</v>
      </c>
      <c r="J8" s="1" t="str">
        <f>CONCATENATE(".incbin """,Table1[[#This Row],[dir]],"/",Table1[[#This Row],[name]],".",Table1[[#This Row],[ext]],"""")</f>
        <v>.incbin "map/macOpeningSkulls.bin"</v>
      </c>
    </row>
    <row r="9" spans="1:10" x14ac:dyDescent="0.25">
      <c r="A9" s="2" t="s">
        <v>493</v>
      </c>
      <c r="B9" s="2" t="s">
        <v>494</v>
      </c>
      <c r="C9" s="3" t="str">
        <f>DEC2HEX(HEX2DEC(Table1[[#This Row],[end]])-HEX2DEC(Table1[[#This Row],[start]]))</f>
        <v>23</v>
      </c>
      <c r="D9" s="1" t="s">
        <v>10</v>
      </c>
      <c r="E9" s="1" t="s">
        <v>121</v>
      </c>
      <c r="F9" s="1" t="s">
        <v>124</v>
      </c>
      <c r="G9" s="1" t="s">
        <v>394</v>
      </c>
      <c r="H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bins.append(BinFile(0x001D0B, 0x23, "mapOpeningSkulls", "bin", "map", "us"))</v>
      </c>
      <c r="I9" s="1" t="str">
        <f>CONCATENATE(Table1[[#This Row],[name]],":")</f>
        <v>mapOpeningSkulls:</v>
      </c>
      <c r="J9" s="1" t="str">
        <f>CONCATENATE(".incbin """,Table1[[#This Row],[dir]],"/",Table1[[#This Row],[name]],".",Table1[[#This Row],[ext]],"""")</f>
        <v>.incbin "map/mapOpeningSkulls.bin"</v>
      </c>
    </row>
    <row r="10" spans="1:10" x14ac:dyDescent="0.25">
      <c r="A10" s="2" t="s">
        <v>494</v>
      </c>
      <c r="B10" s="2" t="s">
        <v>495</v>
      </c>
      <c r="C10" s="3" t="str">
        <f>DEC2HEX(HEX2DEC(Table1[[#This Row],[end]])-HEX2DEC(Table1[[#This Row],[start]]))</f>
        <v>CD</v>
      </c>
      <c r="D10" s="1" t="s">
        <v>11</v>
      </c>
      <c r="E10" s="1" t="s">
        <v>121</v>
      </c>
      <c r="F10" s="1" t="s">
        <v>124</v>
      </c>
      <c r="G10" s="1" t="s">
        <v>394</v>
      </c>
      <c r="H1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bins.append(BinFile(0x001D2E, 0xCD, "macOpeningTree", "bin", "map", "us"))</v>
      </c>
      <c r="I10" s="1" t="str">
        <f>CONCATENATE(Table1[[#This Row],[name]],":")</f>
        <v>macOpeningTree:</v>
      </c>
      <c r="J10" s="1" t="str">
        <f>CONCATENATE(".incbin """,Table1[[#This Row],[dir]],"/",Table1[[#This Row],[name]],".",Table1[[#This Row],[ext]],"""")</f>
        <v>.incbin "map/macOpeningTree.bin"</v>
      </c>
    </row>
    <row r="11" spans="1:10" x14ac:dyDescent="0.25">
      <c r="A11" s="2" t="s">
        <v>495</v>
      </c>
      <c r="B11" s="2" t="s">
        <v>496</v>
      </c>
      <c r="C11" s="3" t="str">
        <f>DEC2HEX(HEX2DEC(Table1[[#This Row],[end]])-HEX2DEC(Table1[[#This Row],[start]]))</f>
        <v>23</v>
      </c>
      <c r="D11" s="1" t="s">
        <v>12</v>
      </c>
      <c r="E11" s="1" t="s">
        <v>121</v>
      </c>
      <c r="F11" s="1" t="s">
        <v>124</v>
      </c>
      <c r="G11" s="1" t="s">
        <v>394</v>
      </c>
      <c r="H1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bins.append(BinFile(0x001DFB, 0x23, "mapOpeningTree", "bin", "map", "us"))</v>
      </c>
      <c r="I11" s="1" t="str">
        <f>CONCATENATE(Table1[[#This Row],[name]],":")</f>
        <v>mapOpeningTree:</v>
      </c>
      <c r="J11" s="1" t="str">
        <f>CONCATENATE(".incbin """,Table1[[#This Row],[dir]],"/",Table1[[#This Row],[name]],".",Table1[[#This Row],[ext]],"""")</f>
        <v>.incbin "map/mapOpeningTree.bin"</v>
      </c>
    </row>
    <row r="12" spans="1:10" x14ac:dyDescent="0.25">
      <c r="A12" s="2" t="s">
        <v>497</v>
      </c>
      <c r="B12" s="2" t="s">
        <v>492</v>
      </c>
      <c r="C12" s="3" t="str">
        <f>DEC2HEX(HEX2DEC(Table1[[#This Row],[end]])-HEX2DEC(Table1[[#This Row],[start]]))</f>
        <v>500</v>
      </c>
      <c r="D12" s="1" t="s">
        <v>13</v>
      </c>
      <c r="E12" s="1" t="s">
        <v>121</v>
      </c>
      <c r="F12" s="1" t="s">
        <v>124</v>
      </c>
      <c r="G12" s="1" t="s">
        <v>394</v>
      </c>
      <c r="H1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bins.append(BinFile(0x00174D, 0x500, "macWorld1", "bin", "map", "us"))</v>
      </c>
      <c r="I12" s="1" t="str">
        <f>CONCATENATE(Table1[[#This Row],[name]],":")</f>
        <v>macWorld1:</v>
      </c>
      <c r="J12" s="1" t="str">
        <f>CONCATENATE(".incbin """,Table1[[#This Row],[dir]],"/",Table1[[#This Row],[name]],".",Table1[[#This Row],[ext]],"""")</f>
        <v>.incbin "map/macWorld1.bin"</v>
      </c>
    </row>
    <row r="13" spans="1:10" x14ac:dyDescent="0.25">
      <c r="A13" s="2" t="s">
        <v>485</v>
      </c>
      <c r="B13" s="2" t="s">
        <v>498</v>
      </c>
      <c r="C13" s="3" t="str">
        <f>DEC2HEX(HEX2DEC(Table1[[#This Row],[end]])-HEX2DEC(Table1[[#This Row],[start]]))</f>
        <v>100</v>
      </c>
      <c r="D13" s="1" t="s">
        <v>14</v>
      </c>
      <c r="E13" s="1" t="s">
        <v>121</v>
      </c>
      <c r="F13" s="1" t="s">
        <v>124</v>
      </c>
      <c r="G13" s="1" t="s">
        <v>394</v>
      </c>
      <c r="H1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bins.append(BinFile(0x00044D, 0x100, "mapRound01", "bin", "map", "us"))</v>
      </c>
      <c r="I13" s="1" t="str">
        <f>CONCATENATE(Table1[[#This Row],[name]],":")</f>
        <v>mapRound01:</v>
      </c>
      <c r="J13" s="1" t="str">
        <f>CONCATENATE(".incbin """,Table1[[#This Row],[dir]],"/",Table1[[#This Row],[name]],".",Table1[[#This Row],[ext]],"""")</f>
        <v>.incbin "map/mapRound01.bin"</v>
      </c>
    </row>
    <row r="14" spans="1:10" x14ac:dyDescent="0.25">
      <c r="A14" s="2" t="s">
        <v>498</v>
      </c>
      <c r="B14" s="2" t="s">
        <v>499</v>
      </c>
      <c r="C14" s="3" t="str">
        <f>DEC2HEX(HEX2DEC(Table1[[#This Row],[end]])-HEX2DEC(Table1[[#This Row],[start]]))</f>
        <v>100</v>
      </c>
      <c r="D14" s="1" t="s">
        <v>15</v>
      </c>
      <c r="E14" s="1" t="s">
        <v>121</v>
      </c>
      <c r="F14" s="1" t="s">
        <v>124</v>
      </c>
      <c r="G14" s="1" t="s">
        <v>394</v>
      </c>
      <c r="H1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bins.append(BinFile(0x00054D, 0x100, "mapRound02", "bin", "map", "us"))</v>
      </c>
      <c r="I14" s="1" t="str">
        <f>CONCATENATE(Table1[[#This Row],[name]],":")</f>
        <v>mapRound02:</v>
      </c>
      <c r="J14" s="1" t="str">
        <f>CONCATENATE(".incbin """,Table1[[#This Row],[dir]],"/",Table1[[#This Row],[name]],".",Table1[[#This Row],[ext]],"""")</f>
        <v>.incbin "map/mapRound02.bin"</v>
      </c>
    </row>
    <row r="15" spans="1:10" x14ac:dyDescent="0.25">
      <c r="A15" s="2" t="s">
        <v>499</v>
      </c>
      <c r="B15" s="2" t="s">
        <v>500</v>
      </c>
      <c r="C15" s="3" t="str">
        <f>DEC2HEX(HEX2DEC(Table1[[#This Row],[end]])-HEX2DEC(Table1[[#This Row],[start]]))</f>
        <v>100</v>
      </c>
      <c r="D15" s="1" t="s">
        <v>16</v>
      </c>
      <c r="E15" s="1" t="s">
        <v>121</v>
      </c>
      <c r="F15" s="1" t="s">
        <v>124</v>
      </c>
      <c r="G15" s="1" t="s">
        <v>394</v>
      </c>
      <c r="H1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bins.append(BinFile(0x00064D, 0x100, "mapRound03", "bin", "map", "us"))</v>
      </c>
      <c r="I15" s="1" t="str">
        <f>CONCATENATE(Table1[[#This Row],[name]],":")</f>
        <v>mapRound03:</v>
      </c>
      <c r="J15" s="1" t="str">
        <f>CONCATENATE(".incbin """,Table1[[#This Row],[dir]],"/",Table1[[#This Row],[name]],".",Table1[[#This Row],[ext]],"""")</f>
        <v>.incbin "map/mapRound03.bin"</v>
      </c>
    </row>
    <row r="16" spans="1:10" x14ac:dyDescent="0.25">
      <c r="A16" s="2" t="s">
        <v>500</v>
      </c>
      <c r="B16" s="2" t="s">
        <v>501</v>
      </c>
      <c r="C16" s="3" t="str">
        <f>DEC2HEX(HEX2DEC(Table1[[#This Row],[end]])-HEX2DEC(Table1[[#This Row],[start]]))</f>
        <v>100</v>
      </c>
      <c r="D16" s="1" t="s">
        <v>17</v>
      </c>
      <c r="E16" s="1" t="s">
        <v>121</v>
      </c>
      <c r="F16" s="1" t="s">
        <v>124</v>
      </c>
      <c r="G16" s="1" t="s">
        <v>394</v>
      </c>
      <c r="H1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bins.append(BinFile(0x00074D, 0x100, "mapRound04", "bin", "map", "us"))</v>
      </c>
      <c r="I16" s="1" t="str">
        <f>CONCATENATE(Table1[[#This Row],[name]],":")</f>
        <v>mapRound04:</v>
      </c>
      <c r="J16" s="1" t="str">
        <f>CONCATENATE(".incbin """,Table1[[#This Row],[dir]],"/",Table1[[#This Row],[name]],".",Table1[[#This Row],[ext]],"""")</f>
        <v>.incbin "map/mapRound04.bin"</v>
      </c>
    </row>
    <row r="17" spans="1:10" x14ac:dyDescent="0.25">
      <c r="A17" s="2" t="s">
        <v>501</v>
      </c>
      <c r="B17" s="2" t="s">
        <v>502</v>
      </c>
      <c r="C17" s="3" t="str">
        <f>DEC2HEX(HEX2DEC(Table1[[#This Row],[end]])-HEX2DEC(Table1[[#This Row],[start]]))</f>
        <v>100</v>
      </c>
      <c r="D17" s="1" t="s">
        <v>18</v>
      </c>
      <c r="E17" s="1" t="s">
        <v>121</v>
      </c>
      <c r="F17" s="1" t="s">
        <v>124</v>
      </c>
      <c r="G17" s="1" t="s">
        <v>394</v>
      </c>
      <c r="H1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bins.append(BinFile(0x00084D, 0x100, "mapRound05", "bin", "map", "us"))</v>
      </c>
      <c r="I17" s="1" t="str">
        <f>CONCATENATE(Table1[[#This Row],[name]],":")</f>
        <v>mapRound05:</v>
      </c>
      <c r="J17" s="1" t="str">
        <f>CONCATENATE(".incbin """,Table1[[#This Row],[dir]],"/",Table1[[#This Row],[name]],".",Table1[[#This Row],[ext]],"""")</f>
        <v>.incbin "map/mapRound05.bin"</v>
      </c>
    </row>
    <row r="18" spans="1:10" x14ac:dyDescent="0.25">
      <c r="A18" s="2" t="s">
        <v>502</v>
      </c>
      <c r="B18" s="2" t="s">
        <v>503</v>
      </c>
      <c r="C18" s="3" t="str">
        <f>DEC2HEX(HEX2DEC(Table1[[#This Row],[end]])-HEX2DEC(Table1[[#This Row],[start]]))</f>
        <v>100</v>
      </c>
      <c r="D18" s="1" t="s">
        <v>19</v>
      </c>
      <c r="E18" s="1" t="s">
        <v>121</v>
      </c>
      <c r="F18" s="1" t="s">
        <v>124</v>
      </c>
      <c r="G18" s="1" t="s">
        <v>394</v>
      </c>
      <c r="H1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bins.append(BinFile(0x00094D, 0x100, "mapRound06", "bin", "map", "us"))</v>
      </c>
      <c r="I18" s="1" t="str">
        <f>CONCATENATE(Table1[[#This Row],[name]],":")</f>
        <v>mapRound06:</v>
      </c>
      <c r="J18" s="1" t="str">
        <f>CONCATENATE(".incbin """,Table1[[#This Row],[dir]],"/",Table1[[#This Row],[name]],".",Table1[[#This Row],[ext]],"""")</f>
        <v>.incbin "map/mapRound06.bin"</v>
      </c>
    </row>
    <row r="19" spans="1:10" x14ac:dyDescent="0.25">
      <c r="A19" s="2" t="s">
        <v>503</v>
      </c>
      <c r="B19" s="2" t="s">
        <v>504</v>
      </c>
      <c r="C19" s="3" t="str">
        <f>DEC2HEX(HEX2DEC(Table1[[#This Row],[end]])-HEX2DEC(Table1[[#This Row],[start]]))</f>
        <v>100</v>
      </c>
      <c r="D19" s="1" t="s">
        <v>20</v>
      </c>
      <c r="E19" s="1" t="s">
        <v>121</v>
      </c>
      <c r="F19" s="1" t="s">
        <v>124</v>
      </c>
      <c r="G19" s="1" t="s">
        <v>394</v>
      </c>
      <c r="H1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bins.append(BinFile(0x000A4D, 0x100, "mapRound07", "bin", "map", "us"))</v>
      </c>
      <c r="I19" s="1" t="str">
        <f>CONCATENATE(Table1[[#This Row],[name]],":")</f>
        <v>mapRound07:</v>
      </c>
      <c r="J19" s="1" t="str">
        <f>CONCATENATE(".incbin """,Table1[[#This Row],[dir]],"/",Table1[[#This Row],[name]],".",Table1[[#This Row],[ext]],"""")</f>
        <v>.incbin "map/mapRound07.bin"</v>
      </c>
    </row>
    <row r="20" spans="1:10" x14ac:dyDescent="0.25">
      <c r="A20" s="2" t="s">
        <v>504</v>
      </c>
      <c r="B20" s="2" t="s">
        <v>505</v>
      </c>
      <c r="C20" s="3" t="str">
        <f>DEC2HEX(HEX2DEC(Table1[[#This Row],[end]])-HEX2DEC(Table1[[#This Row],[start]]))</f>
        <v>100</v>
      </c>
      <c r="D20" s="1" t="s">
        <v>21</v>
      </c>
      <c r="E20" s="1" t="s">
        <v>121</v>
      </c>
      <c r="F20" s="1" t="s">
        <v>124</v>
      </c>
      <c r="G20" s="1" t="s">
        <v>394</v>
      </c>
      <c r="H2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bins.append(BinFile(0x000B4D, 0x100, "mapRound08", "bin", "map", "us"))</v>
      </c>
      <c r="I20" s="1" t="str">
        <f>CONCATENATE(Table1[[#This Row],[name]],":")</f>
        <v>mapRound08:</v>
      </c>
      <c r="J20" s="1" t="str">
        <f>CONCATENATE(".incbin """,Table1[[#This Row],[dir]],"/",Table1[[#This Row],[name]],".",Table1[[#This Row],[ext]],"""")</f>
        <v>.incbin "map/mapRound08.bin"</v>
      </c>
    </row>
    <row r="21" spans="1:10" x14ac:dyDescent="0.25">
      <c r="A21" s="2" t="s">
        <v>505</v>
      </c>
      <c r="B21" s="2" t="s">
        <v>506</v>
      </c>
      <c r="C21" s="3" t="str">
        <f>DEC2HEX(HEX2DEC(Table1[[#This Row],[end]])-HEX2DEC(Table1[[#This Row],[start]]))</f>
        <v>100</v>
      </c>
      <c r="D21" s="1" t="s">
        <v>22</v>
      </c>
      <c r="E21" s="1" t="s">
        <v>121</v>
      </c>
      <c r="F21" s="1" t="s">
        <v>124</v>
      </c>
      <c r="G21" s="1" t="s">
        <v>394</v>
      </c>
      <c r="H2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bins.append(BinFile(0x000C4D, 0x100, "mapRound09", "bin", "map", "us"))</v>
      </c>
      <c r="I21" s="1" t="str">
        <f>CONCATENATE(Table1[[#This Row],[name]],":")</f>
        <v>mapRound09:</v>
      </c>
      <c r="J21" s="1" t="str">
        <f>CONCATENATE(".incbin """,Table1[[#This Row],[dir]],"/",Table1[[#This Row],[name]],".",Table1[[#This Row],[ext]],"""")</f>
        <v>.incbin "map/mapRound09.bin"</v>
      </c>
    </row>
    <row r="22" spans="1:10" x14ac:dyDescent="0.25">
      <c r="A22" s="2" t="s">
        <v>506</v>
      </c>
      <c r="B22" s="2" t="s">
        <v>507</v>
      </c>
      <c r="C22" s="3" t="str">
        <f>DEC2HEX(HEX2DEC(Table1[[#This Row],[end]])-HEX2DEC(Table1[[#This Row],[start]]))</f>
        <v>100</v>
      </c>
      <c r="D22" s="1" t="s">
        <v>23</v>
      </c>
      <c r="E22" s="1" t="s">
        <v>121</v>
      </c>
      <c r="F22" s="1" t="s">
        <v>124</v>
      </c>
      <c r="G22" s="1" t="s">
        <v>394</v>
      </c>
      <c r="H2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bins.append(BinFile(0x000D4D, 0x100, "mapRound10", "bin", "map", "us"))</v>
      </c>
      <c r="I22" s="1" t="str">
        <f>CONCATENATE(Table1[[#This Row],[name]],":")</f>
        <v>mapRound10:</v>
      </c>
      <c r="J22" s="1" t="str">
        <f>CONCATENATE(".incbin """,Table1[[#This Row],[dir]],"/",Table1[[#This Row],[name]],".",Table1[[#This Row],[ext]],"""")</f>
        <v>.incbin "map/mapRound10.bin"</v>
      </c>
    </row>
    <row r="23" spans="1:10" x14ac:dyDescent="0.25">
      <c r="A23" s="2" t="s">
        <v>507</v>
      </c>
      <c r="B23" s="2" t="s">
        <v>508</v>
      </c>
      <c r="C23" s="3" t="str">
        <f>DEC2HEX(HEX2DEC(Table1[[#This Row],[end]])-HEX2DEC(Table1[[#This Row],[start]]))</f>
        <v>100</v>
      </c>
      <c r="D23" s="1" t="s">
        <v>24</v>
      </c>
      <c r="E23" s="1" t="s">
        <v>121</v>
      </c>
      <c r="F23" s="1" t="s">
        <v>124</v>
      </c>
      <c r="G23" s="1" t="s">
        <v>394</v>
      </c>
      <c r="H2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bins.append(BinFile(0x000E4D, 0x100, "mapRound11", "bin", "map", "us"))</v>
      </c>
      <c r="I23" s="1" t="str">
        <f>CONCATENATE(Table1[[#This Row],[name]],":")</f>
        <v>mapRound11:</v>
      </c>
      <c r="J23" s="1" t="str">
        <f>CONCATENATE(".incbin """,Table1[[#This Row],[dir]],"/",Table1[[#This Row],[name]],".",Table1[[#This Row],[ext]],"""")</f>
        <v>.incbin "map/mapRound11.bin"</v>
      </c>
    </row>
    <row r="24" spans="1:10" x14ac:dyDescent="0.25">
      <c r="A24" s="2" t="s">
        <v>508</v>
      </c>
      <c r="B24" s="2" t="s">
        <v>509</v>
      </c>
      <c r="C24" s="3" t="str">
        <f>DEC2HEX(HEX2DEC(Table1[[#This Row],[end]])-HEX2DEC(Table1[[#This Row],[start]]))</f>
        <v>100</v>
      </c>
      <c r="D24" s="1" t="s">
        <v>25</v>
      </c>
      <c r="E24" s="1" t="s">
        <v>121</v>
      </c>
      <c r="F24" s="1" t="s">
        <v>124</v>
      </c>
      <c r="G24" s="1" t="s">
        <v>394</v>
      </c>
      <c r="H2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bins.append(BinFile(0x000F4D, 0x100, "mapRound12", "bin", "map", "us"))</v>
      </c>
      <c r="I24" s="1" t="str">
        <f>CONCATENATE(Table1[[#This Row],[name]],":")</f>
        <v>mapRound12:</v>
      </c>
      <c r="J24" s="1" t="str">
        <f>CONCATENATE(".incbin """,Table1[[#This Row],[dir]],"/",Table1[[#This Row],[name]],".",Table1[[#This Row],[ext]],"""")</f>
        <v>.incbin "map/mapRound12.bin"</v>
      </c>
    </row>
    <row r="25" spans="1:10" x14ac:dyDescent="0.25">
      <c r="A25" s="2" t="s">
        <v>509</v>
      </c>
      <c r="B25" s="2" t="s">
        <v>510</v>
      </c>
      <c r="C25" s="3" t="str">
        <f>DEC2HEX(HEX2DEC(Table1[[#This Row],[end]])-HEX2DEC(Table1[[#This Row],[start]]))</f>
        <v>100</v>
      </c>
      <c r="D25" s="1" t="s">
        <v>26</v>
      </c>
      <c r="E25" s="1" t="s">
        <v>121</v>
      </c>
      <c r="F25" s="1" t="s">
        <v>124</v>
      </c>
      <c r="G25" s="1" t="s">
        <v>394</v>
      </c>
      <c r="H2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bins.append(BinFile(0x00104D, 0x100, "mapRound13", "bin", "map", "us"))</v>
      </c>
      <c r="I25" s="1" t="str">
        <f>CONCATENATE(Table1[[#This Row],[name]],":")</f>
        <v>mapRound13:</v>
      </c>
      <c r="J25" s="1" t="str">
        <f>CONCATENATE(".incbin """,Table1[[#This Row],[dir]],"/",Table1[[#This Row],[name]],".",Table1[[#This Row],[ext]],"""")</f>
        <v>.incbin "map/mapRound13.bin"</v>
      </c>
    </row>
    <row r="26" spans="1:10" x14ac:dyDescent="0.25">
      <c r="A26" s="2" t="s">
        <v>510</v>
      </c>
      <c r="B26" s="2" t="s">
        <v>511</v>
      </c>
      <c r="C26" s="3" t="str">
        <f>DEC2HEX(HEX2DEC(Table1[[#This Row],[end]])-HEX2DEC(Table1[[#This Row],[start]]))</f>
        <v>100</v>
      </c>
      <c r="D26" s="1" t="s">
        <v>27</v>
      </c>
      <c r="E26" s="1" t="s">
        <v>121</v>
      </c>
      <c r="F26" s="1" t="s">
        <v>124</v>
      </c>
      <c r="G26" s="1" t="s">
        <v>394</v>
      </c>
      <c r="H2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bins.append(BinFile(0x00114D, 0x100, "mapRound14", "bin", "map", "us"))</v>
      </c>
      <c r="I26" s="1" t="str">
        <f>CONCATENATE(Table1[[#This Row],[name]],":")</f>
        <v>mapRound14:</v>
      </c>
      <c r="J26" s="1" t="str">
        <f>CONCATENATE(".incbin """,Table1[[#This Row],[dir]],"/",Table1[[#This Row],[name]],".",Table1[[#This Row],[ext]],"""")</f>
        <v>.incbin "map/mapRound14.bin"</v>
      </c>
    </row>
    <row r="27" spans="1:10" x14ac:dyDescent="0.25">
      <c r="A27" s="2" t="s">
        <v>511</v>
      </c>
      <c r="B27" s="2" t="s">
        <v>512</v>
      </c>
      <c r="C27" s="3" t="str">
        <f>DEC2HEX(HEX2DEC(Table1[[#This Row],[end]])-HEX2DEC(Table1[[#This Row],[start]]))</f>
        <v>100</v>
      </c>
      <c r="D27" s="1" t="s">
        <v>28</v>
      </c>
      <c r="E27" s="1" t="s">
        <v>121</v>
      </c>
      <c r="F27" s="1" t="s">
        <v>124</v>
      </c>
      <c r="G27" s="1" t="s">
        <v>394</v>
      </c>
      <c r="H2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bins.append(BinFile(0x00124D, 0x100, "mapRound15", "bin", "map", "us"))</v>
      </c>
      <c r="I27" s="1" t="str">
        <f>CONCATENATE(Table1[[#This Row],[name]],":")</f>
        <v>mapRound15:</v>
      </c>
      <c r="J27" s="1" t="str">
        <f>CONCATENATE(".incbin """,Table1[[#This Row],[dir]],"/",Table1[[#This Row],[name]],".",Table1[[#This Row],[ext]],"""")</f>
        <v>.incbin "map/mapRound15.bin"</v>
      </c>
    </row>
    <row r="28" spans="1:10" x14ac:dyDescent="0.25">
      <c r="A28" s="2" t="s">
        <v>512</v>
      </c>
      <c r="B28" s="2" t="s">
        <v>513</v>
      </c>
      <c r="C28" s="3" t="str">
        <f>DEC2HEX(HEX2DEC(Table1[[#This Row],[end]])-HEX2DEC(Table1[[#This Row],[start]]))</f>
        <v>100</v>
      </c>
      <c r="D28" s="1" t="s">
        <v>29</v>
      </c>
      <c r="E28" s="1" t="s">
        <v>121</v>
      </c>
      <c r="F28" s="1" t="s">
        <v>124</v>
      </c>
      <c r="G28" s="1" t="s">
        <v>394</v>
      </c>
      <c r="H2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bins.append(BinFile(0x00134D, 0x100, "mapRound16", "bin", "map", "us"))</v>
      </c>
      <c r="I28" s="1" t="str">
        <f>CONCATENATE(Table1[[#This Row],[name]],":")</f>
        <v>mapRound16:</v>
      </c>
      <c r="J28" s="1" t="str">
        <f>CONCATENATE(".incbin """,Table1[[#This Row],[dir]],"/",Table1[[#This Row],[name]],".",Table1[[#This Row],[ext]],"""")</f>
        <v>.incbin "map/mapRound16.bin"</v>
      </c>
    </row>
    <row r="29" spans="1:10" x14ac:dyDescent="0.25">
      <c r="A29" s="2" t="s">
        <v>513</v>
      </c>
      <c r="B29" s="2" t="s">
        <v>514</v>
      </c>
      <c r="C29" s="3" t="str">
        <f>DEC2HEX(HEX2DEC(Table1[[#This Row],[end]])-HEX2DEC(Table1[[#This Row],[start]]))</f>
        <v>100</v>
      </c>
      <c r="D29" s="1" t="s">
        <v>30</v>
      </c>
      <c r="E29" s="1" t="s">
        <v>121</v>
      </c>
      <c r="F29" s="1" t="s">
        <v>124</v>
      </c>
      <c r="G29" s="1" t="s">
        <v>394</v>
      </c>
      <c r="H2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bins.append(BinFile(0x00144D, 0x100, "mapRound17", "bin", "map", "us"))</v>
      </c>
      <c r="I29" s="1" t="str">
        <f>CONCATENATE(Table1[[#This Row],[name]],":")</f>
        <v>mapRound17:</v>
      </c>
      <c r="J29" s="1" t="str">
        <f>CONCATENATE(".incbin """,Table1[[#This Row],[dir]],"/",Table1[[#This Row],[name]],".",Table1[[#This Row],[ext]],"""")</f>
        <v>.incbin "map/mapRound17.bin"</v>
      </c>
    </row>
    <row r="30" spans="1:10" x14ac:dyDescent="0.25">
      <c r="A30" s="2" t="s">
        <v>514</v>
      </c>
      <c r="B30" s="2" t="s">
        <v>515</v>
      </c>
      <c r="C30" s="3" t="str">
        <f>DEC2HEX(HEX2DEC(Table1[[#This Row],[end]])-HEX2DEC(Table1[[#This Row],[start]]))</f>
        <v>100</v>
      </c>
      <c r="D30" s="1" t="s">
        <v>31</v>
      </c>
      <c r="E30" s="1" t="s">
        <v>121</v>
      </c>
      <c r="F30" s="1" t="s">
        <v>124</v>
      </c>
      <c r="G30" s="1" t="s">
        <v>394</v>
      </c>
      <c r="H3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bins.append(BinFile(0x00154D, 0x100, "mapRound18", "bin", "map", "us"))</v>
      </c>
      <c r="I30" s="1" t="str">
        <f>CONCATENATE(Table1[[#This Row],[name]],":")</f>
        <v>mapRound18:</v>
      </c>
      <c r="J30" s="1" t="str">
        <f>CONCATENATE(".incbin """,Table1[[#This Row],[dir]],"/",Table1[[#This Row],[name]],".",Table1[[#This Row],[ext]],"""")</f>
        <v>.incbin "map/mapRound18.bin"</v>
      </c>
    </row>
    <row r="31" spans="1:10" x14ac:dyDescent="0.25">
      <c r="A31" s="2" t="s">
        <v>515</v>
      </c>
      <c r="B31" s="2" t="s">
        <v>497</v>
      </c>
      <c r="C31" s="3" t="str">
        <f>DEC2HEX(HEX2DEC(Table1[[#This Row],[end]])-HEX2DEC(Table1[[#This Row],[start]]))</f>
        <v>100</v>
      </c>
      <c r="D31" s="1" t="s">
        <v>32</v>
      </c>
      <c r="E31" s="1" t="s">
        <v>121</v>
      </c>
      <c r="F31" s="1" t="s">
        <v>124</v>
      </c>
      <c r="G31" s="1" t="s">
        <v>394</v>
      </c>
      <c r="H3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bins.append(BinFile(0x00164D, 0x100, "mapRound19", "bin", "map", "us"))</v>
      </c>
      <c r="I31" s="1" t="str">
        <f>CONCATENATE(Table1[[#This Row],[name]],":")</f>
        <v>mapRound19:</v>
      </c>
      <c r="J31" s="1" t="str">
        <f>CONCATENATE(".incbin """,Table1[[#This Row],[dir]],"/",Table1[[#This Row],[name]],".",Table1[[#This Row],[ext]],"""")</f>
        <v>.incbin "map/mapRound19.bin"</v>
      </c>
    </row>
    <row r="32" spans="1:10" x14ac:dyDescent="0.25">
      <c r="A32" s="2" t="s">
        <v>516</v>
      </c>
      <c r="B32" s="2" t="s">
        <v>517</v>
      </c>
      <c r="C32" s="3" t="str">
        <f>DEC2HEX(HEX2DEC(Table1[[#This Row],[end]])-HEX2DEC(Table1[[#This Row],[start]]))</f>
        <v>190</v>
      </c>
      <c r="D32" s="1" t="s">
        <v>33</v>
      </c>
      <c r="E32" s="1" t="s">
        <v>121</v>
      </c>
      <c r="F32" s="1" t="s">
        <v>124</v>
      </c>
      <c r="G32" s="1" t="s">
        <v>394</v>
      </c>
      <c r="H3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bins.append(BinFile(0x007B09, 0x190, "macBoss", "bin", "map", "us"))</v>
      </c>
      <c r="I32" s="1" t="str">
        <f>CONCATENATE(Table1[[#This Row],[name]],":")</f>
        <v>macBoss:</v>
      </c>
      <c r="J32" s="1" t="str">
        <f>CONCATENATE(".incbin """,Table1[[#This Row],[dir]],"/",Table1[[#This Row],[name]],".",Table1[[#This Row],[ext]],"""")</f>
        <v>.incbin "map/macBoss.bin"</v>
      </c>
    </row>
    <row r="33" spans="1:10" x14ac:dyDescent="0.25">
      <c r="A33" s="2" t="s">
        <v>518</v>
      </c>
      <c r="B33" s="2" t="s">
        <v>519</v>
      </c>
      <c r="C33" s="3" t="str">
        <f>DEC2HEX(HEX2DEC(Table1[[#This Row],[end]])-HEX2DEC(Table1[[#This Row],[start]]))</f>
        <v>200</v>
      </c>
      <c r="D33" s="1" t="s">
        <v>34</v>
      </c>
      <c r="E33" s="1" t="s">
        <v>121</v>
      </c>
      <c r="F33" s="1" t="s">
        <v>124</v>
      </c>
      <c r="G33" s="1" t="s">
        <v>394</v>
      </c>
      <c r="H3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bins.append(BinFile(0x007649, 0x200, "mapRound20", "bin", "map", "us"))</v>
      </c>
      <c r="I33" s="1" t="str">
        <f>CONCATENATE(Table1[[#This Row],[name]],":")</f>
        <v>mapRound20:</v>
      </c>
      <c r="J33" s="1" t="str">
        <f>CONCATENATE(".incbin """,Table1[[#This Row],[dir]],"/",Table1[[#This Row],[name]],".",Table1[[#This Row],[ext]],"""")</f>
        <v>.incbin "map/mapRound20.bin"</v>
      </c>
    </row>
    <row r="34" spans="1:10" x14ac:dyDescent="0.25">
      <c r="A34" s="2" t="s">
        <v>520</v>
      </c>
      <c r="B34" s="2" t="s">
        <v>521</v>
      </c>
      <c r="C34" s="3" t="str">
        <f>DEC2HEX(HEX2DEC(Table1[[#This Row],[end]])-HEX2DEC(Table1[[#This Row],[start]]))</f>
        <v>500</v>
      </c>
      <c r="D34" s="1" t="s">
        <v>397</v>
      </c>
      <c r="E34" s="1" t="s">
        <v>121</v>
      </c>
      <c r="F34" s="1" t="s">
        <v>124</v>
      </c>
      <c r="G34" s="1" t="s">
        <v>394</v>
      </c>
      <c r="H3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bins.append(BinFile(0x003695, 0x500, "macWorld2", "bin", "map", "us"))</v>
      </c>
      <c r="I34" s="1" t="str">
        <f>CONCATENATE(Table1[[#This Row],[name]],":")</f>
        <v>macWorld2:</v>
      </c>
      <c r="J34" s="1" t="str">
        <f>CONCATENATE(".incbin """,Table1[[#This Row],[dir]],"/",Table1[[#This Row],[name]],".",Table1[[#This Row],[ext]],"""")</f>
        <v>.incbin "map/macWorld2.bin"</v>
      </c>
    </row>
    <row r="35" spans="1:10" x14ac:dyDescent="0.25">
      <c r="A35" s="2" t="s">
        <v>491</v>
      </c>
      <c r="B35" s="2" t="s">
        <v>522</v>
      </c>
      <c r="C35" s="3" t="str">
        <f>DEC2HEX(HEX2DEC(Table1[[#This Row],[end]])-HEX2DEC(Table1[[#This Row],[start]]))</f>
        <v>100</v>
      </c>
      <c r="D35" s="1" t="s">
        <v>35</v>
      </c>
      <c r="E35" s="1" t="s">
        <v>121</v>
      </c>
      <c r="F35" s="1" t="s">
        <v>124</v>
      </c>
      <c r="G35" s="1" t="s">
        <v>394</v>
      </c>
      <c r="H3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bins.append(BinFile(0x002395, 0x100, "mapRound21", "bin", "map", "us"))</v>
      </c>
      <c r="I35" s="1" t="str">
        <f>CONCATENATE(Table1[[#This Row],[name]],":")</f>
        <v>mapRound21:</v>
      </c>
      <c r="J35" s="1" t="str">
        <f>CONCATENATE(".incbin """,Table1[[#This Row],[dir]],"/",Table1[[#This Row],[name]],".",Table1[[#This Row],[ext]],"""")</f>
        <v>.incbin "map/mapRound21.bin"</v>
      </c>
    </row>
    <row r="36" spans="1:10" x14ac:dyDescent="0.25">
      <c r="A36" s="2" t="s">
        <v>522</v>
      </c>
      <c r="B36" s="2" t="s">
        <v>523</v>
      </c>
      <c r="C36" s="3" t="str">
        <f>DEC2HEX(HEX2DEC(Table1[[#This Row],[end]])-HEX2DEC(Table1[[#This Row],[start]]))</f>
        <v>100</v>
      </c>
      <c r="D36" s="1" t="s">
        <v>36</v>
      </c>
      <c r="E36" s="1" t="s">
        <v>121</v>
      </c>
      <c r="F36" s="1" t="s">
        <v>124</v>
      </c>
      <c r="G36" s="1" t="s">
        <v>394</v>
      </c>
      <c r="H3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bins.append(BinFile(0x002495, 0x100, "mapRound22", "bin", "map", "us"))</v>
      </c>
      <c r="I36" s="1" t="str">
        <f>CONCATENATE(Table1[[#This Row],[name]],":")</f>
        <v>mapRound22:</v>
      </c>
      <c r="J36" s="1" t="str">
        <f>CONCATENATE(".incbin """,Table1[[#This Row],[dir]],"/",Table1[[#This Row],[name]],".",Table1[[#This Row],[ext]],"""")</f>
        <v>.incbin "map/mapRound22.bin"</v>
      </c>
    </row>
    <row r="37" spans="1:10" x14ac:dyDescent="0.25">
      <c r="A37" s="2" t="s">
        <v>523</v>
      </c>
      <c r="B37" s="2" t="s">
        <v>524</v>
      </c>
      <c r="C37" s="3" t="str">
        <f>DEC2HEX(HEX2DEC(Table1[[#This Row],[end]])-HEX2DEC(Table1[[#This Row],[start]]))</f>
        <v>100</v>
      </c>
      <c r="D37" s="1" t="s">
        <v>37</v>
      </c>
      <c r="E37" s="1" t="s">
        <v>121</v>
      </c>
      <c r="F37" s="1" t="s">
        <v>124</v>
      </c>
      <c r="G37" s="1" t="s">
        <v>394</v>
      </c>
      <c r="H3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bins.append(BinFile(0x002595, 0x100, "mapRound23", "bin", "map", "us"))</v>
      </c>
      <c r="I37" s="1" t="str">
        <f>CONCATENATE(Table1[[#This Row],[name]],":")</f>
        <v>mapRound23:</v>
      </c>
      <c r="J37" s="1" t="str">
        <f>CONCATENATE(".incbin """,Table1[[#This Row],[dir]],"/",Table1[[#This Row],[name]],".",Table1[[#This Row],[ext]],"""")</f>
        <v>.incbin "map/mapRound23.bin"</v>
      </c>
    </row>
    <row r="38" spans="1:10" x14ac:dyDescent="0.25">
      <c r="A38" s="2" t="s">
        <v>524</v>
      </c>
      <c r="B38" s="2" t="s">
        <v>525</v>
      </c>
      <c r="C38" s="3" t="str">
        <f>DEC2HEX(HEX2DEC(Table1[[#This Row],[end]])-HEX2DEC(Table1[[#This Row],[start]]))</f>
        <v>100</v>
      </c>
      <c r="D38" s="1" t="s">
        <v>38</v>
      </c>
      <c r="E38" s="1" t="s">
        <v>121</v>
      </c>
      <c r="F38" s="1" t="s">
        <v>124</v>
      </c>
      <c r="G38" s="1" t="s">
        <v>394</v>
      </c>
      <c r="H3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bins.append(BinFile(0x002695, 0x100, "mapRound24", "bin", "map", "us"))</v>
      </c>
      <c r="I38" s="1" t="str">
        <f>CONCATENATE(Table1[[#This Row],[name]],":")</f>
        <v>mapRound24:</v>
      </c>
      <c r="J38" s="1" t="str">
        <f>CONCATENATE(".incbin """,Table1[[#This Row],[dir]],"/",Table1[[#This Row],[name]],".",Table1[[#This Row],[ext]],"""")</f>
        <v>.incbin "map/mapRound24.bin"</v>
      </c>
    </row>
    <row r="39" spans="1:10" x14ac:dyDescent="0.25">
      <c r="A39" s="2" t="s">
        <v>525</v>
      </c>
      <c r="B39" s="2" t="s">
        <v>526</v>
      </c>
      <c r="C39" s="3" t="str">
        <f>DEC2HEX(HEX2DEC(Table1[[#This Row],[end]])-HEX2DEC(Table1[[#This Row],[start]]))</f>
        <v>100</v>
      </c>
      <c r="D39" s="1" t="s">
        <v>39</v>
      </c>
      <c r="E39" s="1" t="s">
        <v>121</v>
      </c>
      <c r="F39" s="1" t="s">
        <v>124</v>
      </c>
      <c r="G39" s="1" t="s">
        <v>394</v>
      </c>
      <c r="H3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bins.append(BinFile(0x002795, 0x100, "mapRound25", "bin", "map", "us"))</v>
      </c>
      <c r="I39" s="1" t="str">
        <f>CONCATENATE(Table1[[#This Row],[name]],":")</f>
        <v>mapRound25:</v>
      </c>
      <c r="J39" s="1" t="str">
        <f>CONCATENATE(".incbin """,Table1[[#This Row],[dir]],"/",Table1[[#This Row],[name]],".",Table1[[#This Row],[ext]],"""")</f>
        <v>.incbin "map/mapRound25.bin"</v>
      </c>
    </row>
    <row r="40" spans="1:10" x14ac:dyDescent="0.25">
      <c r="A40" s="2" t="s">
        <v>526</v>
      </c>
      <c r="B40" s="2" t="s">
        <v>527</v>
      </c>
      <c r="C40" s="3" t="str">
        <f>DEC2HEX(HEX2DEC(Table1[[#This Row],[end]])-HEX2DEC(Table1[[#This Row],[start]]))</f>
        <v>100</v>
      </c>
      <c r="D40" s="1" t="s">
        <v>40</v>
      </c>
      <c r="E40" s="1" t="s">
        <v>121</v>
      </c>
      <c r="F40" s="1" t="s">
        <v>124</v>
      </c>
      <c r="G40" s="1" t="s">
        <v>394</v>
      </c>
      <c r="H4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bins.append(BinFile(0x002895, 0x100, "mapRound26", "bin", "map", "us"))</v>
      </c>
      <c r="I40" s="1" t="str">
        <f>CONCATENATE(Table1[[#This Row],[name]],":")</f>
        <v>mapRound26:</v>
      </c>
      <c r="J40" s="1" t="str">
        <f>CONCATENATE(".incbin """,Table1[[#This Row],[dir]],"/",Table1[[#This Row],[name]],".",Table1[[#This Row],[ext]],"""")</f>
        <v>.incbin "map/mapRound26.bin"</v>
      </c>
    </row>
    <row r="41" spans="1:10" x14ac:dyDescent="0.25">
      <c r="A41" s="2" t="s">
        <v>527</v>
      </c>
      <c r="B41" s="2" t="s">
        <v>528</v>
      </c>
      <c r="C41" s="3" t="str">
        <f>DEC2HEX(HEX2DEC(Table1[[#This Row],[end]])-HEX2DEC(Table1[[#This Row],[start]]))</f>
        <v>100</v>
      </c>
      <c r="D41" s="1" t="s">
        <v>41</v>
      </c>
      <c r="E41" s="1" t="s">
        <v>121</v>
      </c>
      <c r="F41" s="1" t="s">
        <v>124</v>
      </c>
      <c r="G41" s="1" t="s">
        <v>394</v>
      </c>
      <c r="H4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bins.append(BinFile(0x002995, 0x100, "mapRound27", "bin", "map", "us"))</v>
      </c>
      <c r="I41" s="1" t="str">
        <f>CONCATENATE(Table1[[#This Row],[name]],":")</f>
        <v>mapRound27:</v>
      </c>
      <c r="J41" s="1" t="str">
        <f>CONCATENATE(".incbin """,Table1[[#This Row],[dir]],"/",Table1[[#This Row],[name]],".",Table1[[#This Row],[ext]],"""")</f>
        <v>.incbin "map/mapRound27.bin"</v>
      </c>
    </row>
    <row r="42" spans="1:10" x14ac:dyDescent="0.25">
      <c r="A42" s="2" t="s">
        <v>528</v>
      </c>
      <c r="B42" s="2" t="s">
        <v>529</v>
      </c>
      <c r="C42" s="3" t="str">
        <f>DEC2HEX(HEX2DEC(Table1[[#This Row],[end]])-HEX2DEC(Table1[[#This Row],[start]]))</f>
        <v>100</v>
      </c>
      <c r="D42" s="1" t="s">
        <v>42</v>
      </c>
      <c r="E42" s="1" t="s">
        <v>121</v>
      </c>
      <c r="F42" s="1" t="s">
        <v>124</v>
      </c>
      <c r="G42" s="1" t="s">
        <v>394</v>
      </c>
      <c r="H4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bins.append(BinFile(0x002A95, 0x100, "mapRound28", "bin", "map", "us"))</v>
      </c>
      <c r="I42" s="1" t="str">
        <f>CONCATENATE(Table1[[#This Row],[name]],":")</f>
        <v>mapRound28:</v>
      </c>
      <c r="J42" s="1" t="str">
        <f>CONCATENATE(".incbin """,Table1[[#This Row],[dir]],"/",Table1[[#This Row],[name]],".",Table1[[#This Row],[ext]],"""")</f>
        <v>.incbin "map/mapRound28.bin"</v>
      </c>
    </row>
    <row r="43" spans="1:10" x14ac:dyDescent="0.25">
      <c r="A43" s="2" t="s">
        <v>529</v>
      </c>
      <c r="B43" s="2" t="s">
        <v>530</v>
      </c>
      <c r="C43" s="3" t="str">
        <f>DEC2HEX(HEX2DEC(Table1[[#This Row],[end]])-HEX2DEC(Table1[[#This Row],[start]]))</f>
        <v>100</v>
      </c>
      <c r="D43" s="1" t="s">
        <v>43</v>
      </c>
      <c r="E43" s="1" t="s">
        <v>121</v>
      </c>
      <c r="F43" s="1" t="s">
        <v>124</v>
      </c>
      <c r="G43" s="1" t="s">
        <v>394</v>
      </c>
      <c r="H4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bins.append(BinFile(0x002B95, 0x100, "mapRound29", "bin", "map", "us"))</v>
      </c>
      <c r="I43" s="1" t="str">
        <f>CONCATENATE(Table1[[#This Row],[name]],":")</f>
        <v>mapRound29:</v>
      </c>
      <c r="J43" s="1" t="str">
        <f>CONCATENATE(".incbin """,Table1[[#This Row],[dir]],"/",Table1[[#This Row],[name]],".",Table1[[#This Row],[ext]],"""")</f>
        <v>.incbin "map/mapRound29.bin"</v>
      </c>
    </row>
    <row r="44" spans="1:10" x14ac:dyDescent="0.25">
      <c r="A44" s="2" t="s">
        <v>530</v>
      </c>
      <c r="B44" s="2" t="s">
        <v>531</v>
      </c>
      <c r="C44" s="3" t="str">
        <f>DEC2HEX(HEX2DEC(Table1[[#This Row],[end]])-HEX2DEC(Table1[[#This Row],[start]]))</f>
        <v>100</v>
      </c>
      <c r="D44" s="1" t="s">
        <v>44</v>
      </c>
      <c r="E44" s="1" t="s">
        <v>121</v>
      </c>
      <c r="F44" s="1" t="s">
        <v>124</v>
      </c>
      <c r="G44" s="1" t="s">
        <v>394</v>
      </c>
      <c r="H4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bins.append(BinFile(0x002C95, 0x100, "mapRound30", "bin", "map", "us"))</v>
      </c>
      <c r="I44" s="1" t="str">
        <f>CONCATENATE(Table1[[#This Row],[name]],":")</f>
        <v>mapRound30:</v>
      </c>
      <c r="J44" s="1" t="str">
        <f>CONCATENATE(".incbin """,Table1[[#This Row],[dir]],"/",Table1[[#This Row],[name]],".",Table1[[#This Row],[ext]],"""")</f>
        <v>.incbin "map/mapRound30.bin"</v>
      </c>
    </row>
    <row r="45" spans="1:10" x14ac:dyDescent="0.25">
      <c r="A45" s="2" t="s">
        <v>531</v>
      </c>
      <c r="B45" s="2" t="s">
        <v>532</v>
      </c>
      <c r="C45" s="3" t="str">
        <f>DEC2HEX(HEX2DEC(Table1[[#This Row],[end]])-HEX2DEC(Table1[[#This Row],[start]]))</f>
        <v>100</v>
      </c>
      <c r="D45" s="1" t="s">
        <v>45</v>
      </c>
      <c r="E45" s="1" t="s">
        <v>121</v>
      </c>
      <c r="F45" s="1" t="s">
        <v>124</v>
      </c>
      <c r="G45" s="1" t="s">
        <v>394</v>
      </c>
      <c r="H4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bins.append(BinFile(0x002D95, 0x100, "mapRound31", "bin", "map", "us"))</v>
      </c>
      <c r="I45" s="1" t="str">
        <f>CONCATENATE(Table1[[#This Row],[name]],":")</f>
        <v>mapRound31:</v>
      </c>
      <c r="J45" s="1" t="str">
        <f>CONCATENATE(".incbin """,Table1[[#This Row],[dir]],"/",Table1[[#This Row],[name]],".",Table1[[#This Row],[ext]],"""")</f>
        <v>.incbin "map/mapRound31.bin"</v>
      </c>
    </row>
    <row r="46" spans="1:10" x14ac:dyDescent="0.25">
      <c r="A46" s="2" t="s">
        <v>532</v>
      </c>
      <c r="B46" s="2" t="s">
        <v>533</v>
      </c>
      <c r="C46" s="3" t="str">
        <f>DEC2HEX(HEX2DEC(Table1[[#This Row],[end]])-HEX2DEC(Table1[[#This Row],[start]]))</f>
        <v>100</v>
      </c>
      <c r="D46" s="1" t="s">
        <v>46</v>
      </c>
      <c r="E46" s="1" t="s">
        <v>121</v>
      </c>
      <c r="F46" s="1" t="s">
        <v>124</v>
      </c>
      <c r="G46" s="1" t="s">
        <v>394</v>
      </c>
      <c r="H4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bins.append(BinFile(0x002E95, 0x100, "mapRound32", "bin", "map", "us"))</v>
      </c>
      <c r="I46" s="1" t="str">
        <f>CONCATENATE(Table1[[#This Row],[name]],":")</f>
        <v>mapRound32:</v>
      </c>
      <c r="J46" s="1" t="str">
        <f>CONCATENATE(".incbin """,Table1[[#This Row],[dir]],"/",Table1[[#This Row],[name]],".",Table1[[#This Row],[ext]],"""")</f>
        <v>.incbin "map/mapRound32.bin"</v>
      </c>
    </row>
    <row r="47" spans="1:10" x14ac:dyDescent="0.25">
      <c r="A47" s="2" t="s">
        <v>533</v>
      </c>
      <c r="B47" s="2" t="s">
        <v>534</v>
      </c>
      <c r="C47" s="3" t="str">
        <f>DEC2HEX(HEX2DEC(Table1[[#This Row],[end]])-HEX2DEC(Table1[[#This Row],[start]]))</f>
        <v>100</v>
      </c>
      <c r="D47" s="1" t="s">
        <v>47</v>
      </c>
      <c r="E47" s="1" t="s">
        <v>121</v>
      </c>
      <c r="F47" s="1" t="s">
        <v>124</v>
      </c>
      <c r="G47" s="1" t="s">
        <v>394</v>
      </c>
      <c r="H4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bins.append(BinFile(0x002F95, 0x100, "mapRound33", "bin", "map", "us"))</v>
      </c>
      <c r="I47" s="1" t="str">
        <f>CONCATENATE(Table1[[#This Row],[name]],":")</f>
        <v>mapRound33:</v>
      </c>
      <c r="J47" s="1" t="str">
        <f>CONCATENATE(".incbin """,Table1[[#This Row],[dir]],"/",Table1[[#This Row],[name]],".",Table1[[#This Row],[ext]],"""")</f>
        <v>.incbin "map/mapRound33.bin"</v>
      </c>
    </row>
    <row r="48" spans="1:10" x14ac:dyDescent="0.25">
      <c r="A48" s="2" t="s">
        <v>534</v>
      </c>
      <c r="B48" s="2" t="s">
        <v>535</v>
      </c>
      <c r="C48" s="3" t="str">
        <f>DEC2HEX(HEX2DEC(Table1[[#This Row],[end]])-HEX2DEC(Table1[[#This Row],[start]]))</f>
        <v>100</v>
      </c>
      <c r="D48" s="1" t="s">
        <v>48</v>
      </c>
      <c r="E48" s="1" t="s">
        <v>121</v>
      </c>
      <c r="F48" s="1" t="s">
        <v>124</v>
      </c>
      <c r="G48" s="1" t="s">
        <v>394</v>
      </c>
      <c r="H4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bins.append(BinFile(0x003095, 0x100, "mapRound34", "bin", "map", "us"))</v>
      </c>
      <c r="I48" s="1" t="str">
        <f>CONCATENATE(Table1[[#This Row],[name]],":")</f>
        <v>mapRound34:</v>
      </c>
      <c r="J48" s="1" t="str">
        <f>CONCATENATE(".incbin """,Table1[[#This Row],[dir]],"/",Table1[[#This Row],[name]],".",Table1[[#This Row],[ext]],"""")</f>
        <v>.incbin "map/mapRound34.bin"</v>
      </c>
    </row>
    <row r="49" spans="1:10" x14ac:dyDescent="0.25">
      <c r="A49" s="2" t="s">
        <v>535</v>
      </c>
      <c r="B49" s="2" t="s">
        <v>536</v>
      </c>
      <c r="C49" s="3" t="str">
        <f>DEC2HEX(HEX2DEC(Table1[[#This Row],[end]])-HEX2DEC(Table1[[#This Row],[start]]))</f>
        <v>100</v>
      </c>
      <c r="D49" s="1" t="s">
        <v>49</v>
      </c>
      <c r="E49" s="1" t="s">
        <v>121</v>
      </c>
      <c r="F49" s="1" t="s">
        <v>124</v>
      </c>
      <c r="G49" s="1" t="s">
        <v>394</v>
      </c>
      <c r="H4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bins.append(BinFile(0x003195, 0x100, "mapRound35", "bin", "map", "us"))</v>
      </c>
      <c r="I49" s="1" t="str">
        <f>CONCATENATE(Table1[[#This Row],[name]],":")</f>
        <v>mapRound35:</v>
      </c>
      <c r="J49" s="1" t="str">
        <f>CONCATENATE(".incbin """,Table1[[#This Row],[dir]],"/",Table1[[#This Row],[name]],".",Table1[[#This Row],[ext]],"""")</f>
        <v>.incbin "map/mapRound35.bin"</v>
      </c>
    </row>
    <row r="50" spans="1:10" x14ac:dyDescent="0.25">
      <c r="A50" s="2" t="s">
        <v>536</v>
      </c>
      <c r="B50" s="2" t="s">
        <v>537</v>
      </c>
      <c r="C50" s="3" t="str">
        <f>DEC2HEX(HEX2DEC(Table1[[#This Row],[end]])-HEX2DEC(Table1[[#This Row],[start]]))</f>
        <v>100</v>
      </c>
      <c r="D50" s="1" t="s">
        <v>50</v>
      </c>
      <c r="E50" s="1" t="s">
        <v>121</v>
      </c>
      <c r="F50" s="1" t="s">
        <v>124</v>
      </c>
      <c r="G50" s="1" t="s">
        <v>394</v>
      </c>
      <c r="H5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bins.append(BinFile(0x003295, 0x100, "mapRound36", "bin", "map", "us"))</v>
      </c>
      <c r="I50" s="1" t="str">
        <f>CONCATENATE(Table1[[#This Row],[name]],":")</f>
        <v>mapRound36:</v>
      </c>
      <c r="J50" s="1" t="str">
        <f>CONCATENATE(".incbin """,Table1[[#This Row],[dir]],"/",Table1[[#This Row],[name]],".",Table1[[#This Row],[ext]],"""")</f>
        <v>.incbin "map/mapRound36.bin"</v>
      </c>
    </row>
    <row r="51" spans="1:10" x14ac:dyDescent="0.25">
      <c r="A51" s="2" t="s">
        <v>537</v>
      </c>
      <c r="B51" s="2" t="s">
        <v>538</v>
      </c>
      <c r="C51" s="3" t="str">
        <f>DEC2HEX(HEX2DEC(Table1[[#This Row],[end]])-HEX2DEC(Table1[[#This Row],[start]]))</f>
        <v>100</v>
      </c>
      <c r="D51" s="1" t="s">
        <v>51</v>
      </c>
      <c r="E51" s="1" t="s">
        <v>121</v>
      </c>
      <c r="F51" s="1" t="s">
        <v>124</v>
      </c>
      <c r="G51" s="1" t="s">
        <v>394</v>
      </c>
      <c r="H5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bins.append(BinFile(0x003395, 0x100, "mapRound37", "bin", "map", "us"))</v>
      </c>
      <c r="I51" s="1" t="str">
        <f>CONCATENATE(Table1[[#This Row],[name]],":")</f>
        <v>mapRound37:</v>
      </c>
      <c r="J51" s="1" t="str">
        <f>CONCATENATE(".incbin """,Table1[[#This Row],[dir]],"/",Table1[[#This Row],[name]],".",Table1[[#This Row],[ext]],"""")</f>
        <v>.incbin "map/mapRound37.bin"</v>
      </c>
    </row>
    <row r="52" spans="1:10" x14ac:dyDescent="0.25">
      <c r="A52" s="2" t="s">
        <v>538</v>
      </c>
      <c r="B52" s="2" t="s">
        <v>539</v>
      </c>
      <c r="C52" s="3" t="str">
        <f>DEC2HEX(HEX2DEC(Table1[[#This Row],[end]])-HEX2DEC(Table1[[#This Row],[start]]))</f>
        <v>100</v>
      </c>
      <c r="D52" s="1" t="s">
        <v>52</v>
      </c>
      <c r="E52" s="1" t="s">
        <v>121</v>
      </c>
      <c r="F52" s="1" t="s">
        <v>124</v>
      </c>
      <c r="G52" s="1" t="s">
        <v>394</v>
      </c>
      <c r="H5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bins.append(BinFile(0x003495, 0x100, "mapRound38", "bin", "map", "us"))</v>
      </c>
      <c r="I52" s="1" t="str">
        <f>CONCATENATE(Table1[[#This Row],[name]],":")</f>
        <v>mapRound38:</v>
      </c>
      <c r="J52" s="1" t="str">
        <f>CONCATENATE(".incbin """,Table1[[#This Row],[dir]],"/",Table1[[#This Row],[name]],".",Table1[[#This Row],[ext]],"""")</f>
        <v>.incbin "map/mapRound38.bin"</v>
      </c>
    </row>
    <row r="53" spans="1:10" x14ac:dyDescent="0.25">
      <c r="A53" s="2" t="s">
        <v>539</v>
      </c>
      <c r="B53" s="2" t="s">
        <v>520</v>
      </c>
      <c r="C53" s="3" t="str">
        <f>DEC2HEX(HEX2DEC(Table1[[#This Row],[end]])-HEX2DEC(Table1[[#This Row],[start]]))</f>
        <v>100</v>
      </c>
      <c r="D53" s="1" t="s">
        <v>53</v>
      </c>
      <c r="E53" s="1" t="s">
        <v>121</v>
      </c>
      <c r="F53" s="1" t="s">
        <v>124</v>
      </c>
      <c r="G53" s="1" t="s">
        <v>394</v>
      </c>
      <c r="H5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bins.append(BinFile(0x003595, 0x100, "mapRound39", "bin", "map", "us"))</v>
      </c>
      <c r="I53" s="1" t="str">
        <f>CONCATENATE(Table1[[#This Row],[name]],":")</f>
        <v>mapRound39:</v>
      </c>
      <c r="J53" s="1" t="str">
        <f>CONCATENATE(".incbin """,Table1[[#This Row],[dir]],"/",Table1[[#This Row],[name]],".",Table1[[#This Row],[ext]],"""")</f>
        <v>.incbin "map/mapRound39.bin"</v>
      </c>
    </row>
    <row r="54" spans="1:10" x14ac:dyDescent="0.25">
      <c r="A54" s="2" t="s">
        <v>519</v>
      </c>
      <c r="B54" s="2" t="s">
        <v>540</v>
      </c>
      <c r="C54" s="3" t="str">
        <f>DEC2HEX(HEX2DEC(Table1[[#This Row],[end]])-HEX2DEC(Table1[[#This Row],[start]]))</f>
        <v>F0</v>
      </c>
      <c r="D54" s="1" t="s">
        <v>54</v>
      </c>
      <c r="E54" s="1" t="s">
        <v>121</v>
      </c>
      <c r="F54" s="1" t="s">
        <v>124</v>
      </c>
      <c r="G54" s="1" t="s">
        <v>394</v>
      </c>
      <c r="H5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bins.append(BinFile(0x007849, 0xF0, "mapRound40", "bin", "map", "us"))</v>
      </c>
      <c r="I54" s="1" t="str">
        <f>CONCATENATE(Table1[[#This Row],[name]],":")</f>
        <v>mapRound40:</v>
      </c>
      <c r="J54" s="1" t="str">
        <f>CONCATENATE(".incbin """,Table1[[#This Row],[dir]],"/",Table1[[#This Row],[name]],".",Table1[[#This Row],[ext]],"""")</f>
        <v>.incbin "map/mapRound40.bin"</v>
      </c>
    </row>
    <row r="55" spans="1:10" x14ac:dyDescent="0.25">
      <c r="A55" s="2" t="s">
        <v>541</v>
      </c>
      <c r="B55" s="2" t="s">
        <v>542</v>
      </c>
      <c r="C55" s="3" t="str">
        <f>DEC2HEX(HEX2DEC(Table1[[#This Row],[end]])-HEX2DEC(Table1[[#This Row],[start]]))</f>
        <v>384</v>
      </c>
      <c r="D55" s="1" t="s">
        <v>55</v>
      </c>
      <c r="E55" s="1" t="s">
        <v>121</v>
      </c>
      <c r="F55" s="1" t="s">
        <v>124</v>
      </c>
      <c r="G55" s="1" t="s">
        <v>394</v>
      </c>
      <c r="H5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bins.append(BinFile(0x00546F, 0x384, "macWorld3", "bin", "map", "us"))</v>
      </c>
      <c r="I55" s="1" t="str">
        <f>CONCATENATE(Table1[[#This Row],[name]],":")</f>
        <v>macWorld3:</v>
      </c>
      <c r="J55" s="1" t="str">
        <f>CONCATENATE(".incbin """,Table1[[#This Row],[dir]],"/",Table1[[#This Row],[name]],".",Table1[[#This Row],[ext]],"""")</f>
        <v>.incbin "map/macWorld3.bin"</v>
      </c>
    </row>
    <row r="56" spans="1:10" x14ac:dyDescent="0.25">
      <c r="A56" s="2" t="s">
        <v>488</v>
      </c>
      <c r="B56" s="2" t="s">
        <v>543</v>
      </c>
      <c r="C56" s="3" t="str">
        <f>DEC2HEX(HEX2DEC(Table1[[#This Row],[end]])-HEX2DEC(Table1[[#This Row],[start]]))</f>
        <v>100</v>
      </c>
      <c r="D56" s="1" t="s">
        <v>56</v>
      </c>
      <c r="E56" s="1" t="s">
        <v>121</v>
      </c>
      <c r="F56" s="1" t="s">
        <v>124</v>
      </c>
      <c r="G56" s="1" t="s">
        <v>394</v>
      </c>
      <c r="H5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bins.append(BinFile(0x00416F, 0x100, "mapRound41", "bin", "map", "us"))</v>
      </c>
      <c r="I56" s="1" t="str">
        <f>CONCATENATE(Table1[[#This Row],[name]],":")</f>
        <v>mapRound41:</v>
      </c>
      <c r="J56" s="1" t="str">
        <f>CONCATENATE(".incbin """,Table1[[#This Row],[dir]],"/",Table1[[#This Row],[name]],".",Table1[[#This Row],[ext]],"""")</f>
        <v>.incbin "map/mapRound41.bin"</v>
      </c>
    </row>
    <row r="57" spans="1:10" x14ac:dyDescent="0.25">
      <c r="A57" s="2" t="s">
        <v>543</v>
      </c>
      <c r="B57" s="2" t="s">
        <v>544</v>
      </c>
      <c r="C57" s="3" t="str">
        <f>DEC2HEX(HEX2DEC(Table1[[#This Row],[end]])-HEX2DEC(Table1[[#This Row],[start]]))</f>
        <v>100</v>
      </c>
      <c r="D57" s="1" t="s">
        <v>57</v>
      </c>
      <c r="E57" s="1" t="s">
        <v>121</v>
      </c>
      <c r="F57" s="1" t="s">
        <v>124</v>
      </c>
      <c r="G57" s="1" t="s">
        <v>394</v>
      </c>
      <c r="H5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bins.append(BinFile(0x00426F, 0x100, "mapRound42", "bin", "map", "us"))</v>
      </c>
      <c r="I57" s="1" t="str">
        <f>CONCATENATE(Table1[[#This Row],[name]],":")</f>
        <v>mapRound42:</v>
      </c>
      <c r="J57" s="1" t="str">
        <f>CONCATENATE(".incbin """,Table1[[#This Row],[dir]],"/",Table1[[#This Row],[name]],".",Table1[[#This Row],[ext]],"""")</f>
        <v>.incbin "map/mapRound42.bin"</v>
      </c>
    </row>
    <row r="58" spans="1:10" x14ac:dyDescent="0.25">
      <c r="A58" s="2" t="s">
        <v>544</v>
      </c>
      <c r="B58" s="2" t="s">
        <v>545</v>
      </c>
      <c r="C58" s="3" t="str">
        <f>DEC2HEX(HEX2DEC(Table1[[#This Row],[end]])-HEX2DEC(Table1[[#This Row],[start]]))</f>
        <v>100</v>
      </c>
      <c r="D58" s="1" t="s">
        <v>58</v>
      </c>
      <c r="E58" s="1" t="s">
        <v>121</v>
      </c>
      <c r="F58" s="1" t="s">
        <v>124</v>
      </c>
      <c r="G58" s="1" t="s">
        <v>394</v>
      </c>
      <c r="H5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bins.append(BinFile(0x00436F, 0x100, "mapRound43", "bin", "map", "us"))</v>
      </c>
      <c r="I58" s="1" t="str">
        <f>CONCATENATE(Table1[[#This Row],[name]],":")</f>
        <v>mapRound43:</v>
      </c>
      <c r="J58" s="1" t="str">
        <f>CONCATENATE(".incbin """,Table1[[#This Row],[dir]],"/",Table1[[#This Row],[name]],".",Table1[[#This Row],[ext]],"""")</f>
        <v>.incbin "map/mapRound43.bin"</v>
      </c>
    </row>
    <row r="59" spans="1:10" x14ac:dyDescent="0.25">
      <c r="A59" s="2" t="s">
        <v>545</v>
      </c>
      <c r="B59" s="2" t="s">
        <v>546</v>
      </c>
      <c r="C59" s="3" t="str">
        <f>DEC2HEX(HEX2DEC(Table1[[#This Row],[end]])-HEX2DEC(Table1[[#This Row],[start]]))</f>
        <v>100</v>
      </c>
      <c r="D59" s="1" t="s">
        <v>59</v>
      </c>
      <c r="E59" s="1" t="s">
        <v>121</v>
      </c>
      <c r="F59" s="1" t="s">
        <v>124</v>
      </c>
      <c r="G59" s="1" t="s">
        <v>394</v>
      </c>
      <c r="H5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bins.append(BinFile(0x00446F, 0x100, "mapRound44", "bin", "map", "us"))</v>
      </c>
      <c r="I59" s="1" t="str">
        <f>CONCATENATE(Table1[[#This Row],[name]],":")</f>
        <v>mapRound44:</v>
      </c>
      <c r="J59" s="1" t="str">
        <f>CONCATENATE(".incbin """,Table1[[#This Row],[dir]],"/",Table1[[#This Row],[name]],".",Table1[[#This Row],[ext]],"""")</f>
        <v>.incbin "map/mapRound44.bin"</v>
      </c>
    </row>
    <row r="60" spans="1:10" x14ac:dyDescent="0.25">
      <c r="A60" s="2" t="s">
        <v>546</v>
      </c>
      <c r="B60" s="2" t="s">
        <v>547</v>
      </c>
      <c r="C60" s="3" t="str">
        <f>DEC2HEX(HEX2DEC(Table1[[#This Row],[end]])-HEX2DEC(Table1[[#This Row],[start]]))</f>
        <v>100</v>
      </c>
      <c r="D60" s="1" t="s">
        <v>60</v>
      </c>
      <c r="E60" s="1" t="s">
        <v>121</v>
      </c>
      <c r="F60" s="1" t="s">
        <v>124</v>
      </c>
      <c r="G60" s="1" t="s">
        <v>394</v>
      </c>
      <c r="H6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bins.append(BinFile(0x00456F, 0x100, "mapRound45", "bin", "map", "us"))</v>
      </c>
      <c r="I60" s="1" t="str">
        <f>CONCATENATE(Table1[[#This Row],[name]],":")</f>
        <v>mapRound45:</v>
      </c>
      <c r="J60" s="1" t="str">
        <f>CONCATENATE(".incbin """,Table1[[#This Row],[dir]],"/",Table1[[#This Row],[name]],".",Table1[[#This Row],[ext]],"""")</f>
        <v>.incbin "map/mapRound45.bin"</v>
      </c>
    </row>
    <row r="61" spans="1:10" x14ac:dyDescent="0.25">
      <c r="A61" s="2" t="s">
        <v>547</v>
      </c>
      <c r="B61" s="2" t="s">
        <v>548</v>
      </c>
      <c r="C61" s="3" t="str">
        <f>DEC2HEX(HEX2DEC(Table1[[#This Row],[end]])-HEX2DEC(Table1[[#This Row],[start]]))</f>
        <v>100</v>
      </c>
      <c r="D61" s="1" t="s">
        <v>61</v>
      </c>
      <c r="E61" s="1" t="s">
        <v>121</v>
      </c>
      <c r="F61" s="1" t="s">
        <v>124</v>
      </c>
      <c r="G61" s="1" t="s">
        <v>394</v>
      </c>
      <c r="H6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bins.append(BinFile(0x00466F, 0x100, "mapRound46", "bin", "map", "us"))</v>
      </c>
      <c r="I61" s="1" t="str">
        <f>CONCATENATE(Table1[[#This Row],[name]],":")</f>
        <v>mapRound46:</v>
      </c>
      <c r="J61" s="1" t="str">
        <f>CONCATENATE(".incbin """,Table1[[#This Row],[dir]],"/",Table1[[#This Row],[name]],".",Table1[[#This Row],[ext]],"""")</f>
        <v>.incbin "map/mapRound46.bin"</v>
      </c>
    </row>
    <row r="62" spans="1:10" x14ac:dyDescent="0.25">
      <c r="A62" s="2" t="s">
        <v>548</v>
      </c>
      <c r="B62" s="2" t="s">
        <v>549</v>
      </c>
      <c r="C62" s="3" t="str">
        <f>DEC2HEX(HEX2DEC(Table1[[#This Row],[end]])-HEX2DEC(Table1[[#This Row],[start]]))</f>
        <v>100</v>
      </c>
      <c r="D62" s="1" t="s">
        <v>62</v>
      </c>
      <c r="E62" s="1" t="s">
        <v>121</v>
      </c>
      <c r="F62" s="1" t="s">
        <v>124</v>
      </c>
      <c r="G62" s="1" t="s">
        <v>394</v>
      </c>
      <c r="H6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bins.append(BinFile(0x00476F, 0x100, "mapRound47", "bin", "map", "us"))</v>
      </c>
      <c r="I62" s="1" t="str">
        <f>CONCATENATE(Table1[[#This Row],[name]],":")</f>
        <v>mapRound47:</v>
      </c>
      <c r="J62" s="1" t="str">
        <f>CONCATENATE(".incbin """,Table1[[#This Row],[dir]],"/",Table1[[#This Row],[name]],".",Table1[[#This Row],[ext]],"""")</f>
        <v>.incbin "map/mapRound47.bin"</v>
      </c>
    </row>
    <row r="63" spans="1:10" x14ac:dyDescent="0.25">
      <c r="A63" s="2" t="s">
        <v>549</v>
      </c>
      <c r="B63" s="2" t="s">
        <v>550</v>
      </c>
      <c r="C63" s="3" t="str">
        <f>DEC2HEX(HEX2DEC(Table1[[#This Row],[end]])-HEX2DEC(Table1[[#This Row],[start]]))</f>
        <v>100</v>
      </c>
      <c r="D63" s="1" t="s">
        <v>63</v>
      </c>
      <c r="E63" s="1" t="s">
        <v>121</v>
      </c>
      <c r="F63" s="1" t="s">
        <v>124</v>
      </c>
      <c r="G63" s="1" t="s">
        <v>394</v>
      </c>
      <c r="H6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bins.append(BinFile(0x00486F, 0x100, "mapRound48", "bin", "map", "us"))</v>
      </c>
      <c r="I63" s="1" t="str">
        <f>CONCATENATE(Table1[[#This Row],[name]],":")</f>
        <v>mapRound48:</v>
      </c>
      <c r="J63" s="1" t="str">
        <f>CONCATENATE(".incbin """,Table1[[#This Row],[dir]],"/",Table1[[#This Row],[name]],".",Table1[[#This Row],[ext]],"""")</f>
        <v>.incbin "map/mapRound48.bin"</v>
      </c>
    </row>
    <row r="64" spans="1:10" x14ac:dyDescent="0.25">
      <c r="A64" s="2" t="s">
        <v>550</v>
      </c>
      <c r="B64" s="2" t="s">
        <v>551</v>
      </c>
      <c r="C64" s="3" t="str">
        <f>DEC2HEX(HEX2DEC(Table1[[#This Row],[end]])-HEX2DEC(Table1[[#This Row],[start]]))</f>
        <v>100</v>
      </c>
      <c r="D64" s="1" t="s">
        <v>64</v>
      </c>
      <c r="E64" s="1" t="s">
        <v>121</v>
      </c>
      <c r="F64" s="1" t="s">
        <v>124</v>
      </c>
      <c r="G64" s="1" t="s">
        <v>394</v>
      </c>
      <c r="H6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bins.append(BinFile(0x00496F, 0x100, "mapRound49", "bin", "map", "us"))</v>
      </c>
      <c r="I64" s="1" t="str">
        <f>CONCATENATE(Table1[[#This Row],[name]],":")</f>
        <v>mapRound49:</v>
      </c>
      <c r="J64" s="1" t="str">
        <f>CONCATENATE(".incbin """,Table1[[#This Row],[dir]],"/",Table1[[#This Row],[name]],".",Table1[[#This Row],[ext]],"""")</f>
        <v>.incbin "map/mapRound49.bin"</v>
      </c>
    </row>
    <row r="65" spans="1:10" x14ac:dyDescent="0.25">
      <c r="A65" s="2" t="s">
        <v>551</v>
      </c>
      <c r="B65" s="2" t="s">
        <v>552</v>
      </c>
      <c r="C65" s="3" t="str">
        <f>DEC2HEX(HEX2DEC(Table1[[#This Row],[end]])-HEX2DEC(Table1[[#This Row],[start]]))</f>
        <v>100</v>
      </c>
      <c r="D65" s="1" t="s">
        <v>65</v>
      </c>
      <c r="E65" s="1" t="s">
        <v>121</v>
      </c>
      <c r="F65" s="1" t="s">
        <v>124</v>
      </c>
      <c r="G65" s="1" t="s">
        <v>394</v>
      </c>
      <c r="H6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bins.append(BinFile(0x004A6F, 0x100, "mapRound50", "bin", "map", "us"))</v>
      </c>
      <c r="I65" s="1" t="str">
        <f>CONCATENATE(Table1[[#This Row],[name]],":")</f>
        <v>mapRound50:</v>
      </c>
      <c r="J65" s="1" t="str">
        <f>CONCATENATE(".incbin """,Table1[[#This Row],[dir]],"/",Table1[[#This Row],[name]],".",Table1[[#This Row],[ext]],"""")</f>
        <v>.incbin "map/mapRound50.bin"</v>
      </c>
    </row>
    <row r="66" spans="1:10" x14ac:dyDescent="0.25">
      <c r="A66" s="2" t="s">
        <v>552</v>
      </c>
      <c r="B66" s="2" t="s">
        <v>553</v>
      </c>
      <c r="C66" s="3" t="str">
        <f>DEC2HEX(HEX2DEC(Table1[[#This Row],[end]])-HEX2DEC(Table1[[#This Row],[start]]))</f>
        <v>100</v>
      </c>
      <c r="D66" s="1" t="s">
        <v>66</v>
      </c>
      <c r="E66" s="1" t="s">
        <v>121</v>
      </c>
      <c r="F66" s="1" t="s">
        <v>124</v>
      </c>
      <c r="G66" s="1" t="s">
        <v>394</v>
      </c>
      <c r="H6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bins.append(BinFile(0x004B6F, 0x100, "mapRound51", "bin", "map", "us"))</v>
      </c>
      <c r="I66" s="1" t="str">
        <f>CONCATENATE(Table1[[#This Row],[name]],":")</f>
        <v>mapRound51:</v>
      </c>
      <c r="J66" s="1" t="str">
        <f>CONCATENATE(".incbin """,Table1[[#This Row],[dir]],"/",Table1[[#This Row],[name]],".",Table1[[#This Row],[ext]],"""")</f>
        <v>.incbin "map/mapRound51.bin"</v>
      </c>
    </row>
    <row r="67" spans="1:10" x14ac:dyDescent="0.25">
      <c r="A67" s="2" t="s">
        <v>553</v>
      </c>
      <c r="B67" s="2" t="s">
        <v>554</v>
      </c>
      <c r="C67" s="3" t="str">
        <f>DEC2HEX(HEX2DEC(Table1[[#This Row],[end]])-HEX2DEC(Table1[[#This Row],[start]]))</f>
        <v>100</v>
      </c>
      <c r="D67" s="1" t="s">
        <v>67</v>
      </c>
      <c r="E67" s="1" t="s">
        <v>121</v>
      </c>
      <c r="F67" s="1" t="s">
        <v>124</v>
      </c>
      <c r="G67" s="1" t="s">
        <v>394</v>
      </c>
      <c r="H6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bins.append(BinFile(0x004C6F, 0x100, "mapRound52", "bin", "map", "us"))</v>
      </c>
      <c r="I67" s="1" t="str">
        <f>CONCATENATE(Table1[[#This Row],[name]],":")</f>
        <v>mapRound52:</v>
      </c>
      <c r="J67" s="1" t="str">
        <f>CONCATENATE(".incbin """,Table1[[#This Row],[dir]],"/",Table1[[#This Row],[name]],".",Table1[[#This Row],[ext]],"""")</f>
        <v>.incbin "map/mapRound52.bin"</v>
      </c>
    </row>
    <row r="68" spans="1:10" x14ac:dyDescent="0.25">
      <c r="A68" s="2" t="s">
        <v>554</v>
      </c>
      <c r="B68" s="2" t="s">
        <v>555</v>
      </c>
      <c r="C68" s="3" t="str">
        <f>DEC2HEX(HEX2DEC(Table1[[#This Row],[end]])-HEX2DEC(Table1[[#This Row],[start]]))</f>
        <v>100</v>
      </c>
      <c r="D68" s="1" t="s">
        <v>68</v>
      </c>
      <c r="E68" s="1" t="s">
        <v>121</v>
      </c>
      <c r="F68" s="1" t="s">
        <v>124</v>
      </c>
      <c r="G68" s="1" t="s">
        <v>394</v>
      </c>
      <c r="H6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bins.append(BinFile(0x004D6F, 0x100, "mapRound53", "bin", "map", "us"))</v>
      </c>
      <c r="I68" s="1" t="str">
        <f>CONCATENATE(Table1[[#This Row],[name]],":")</f>
        <v>mapRound53:</v>
      </c>
      <c r="J68" s="1" t="str">
        <f>CONCATENATE(".incbin """,Table1[[#This Row],[dir]],"/",Table1[[#This Row],[name]],".",Table1[[#This Row],[ext]],"""")</f>
        <v>.incbin "map/mapRound53.bin"</v>
      </c>
    </row>
    <row r="69" spans="1:10" x14ac:dyDescent="0.25">
      <c r="A69" s="2" t="s">
        <v>555</v>
      </c>
      <c r="B69" s="2" t="s">
        <v>556</v>
      </c>
      <c r="C69" s="3" t="str">
        <f>DEC2HEX(HEX2DEC(Table1[[#This Row],[end]])-HEX2DEC(Table1[[#This Row],[start]]))</f>
        <v>100</v>
      </c>
      <c r="D69" s="1" t="s">
        <v>69</v>
      </c>
      <c r="E69" s="1" t="s">
        <v>121</v>
      </c>
      <c r="F69" s="1" t="s">
        <v>124</v>
      </c>
      <c r="G69" s="1" t="s">
        <v>394</v>
      </c>
      <c r="H6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bins.append(BinFile(0x004E6F, 0x100, "mapRound54", "bin", "map", "us"))</v>
      </c>
      <c r="I69" s="1" t="str">
        <f>CONCATENATE(Table1[[#This Row],[name]],":")</f>
        <v>mapRound54:</v>
      </c>
      <c r="J69" s="1" t="str">
        <f>CONCATENATE(".incbin """,Table1[[#This Row],[dir]],"/",Table1[[#This Row],[name]],".",Table1[[#This Row],[ext]],"""")</f>
        <v>.incbin "map/mapRound54.bin"</v>
      </c>
    </row>
    <row r="70" spans="1:10" x14ac:dyDescent="0.25">
      <c r="A70" s="2" t="s">
        <v>556</v>
      </c>
      <c r="B70" s="2" t="s">
        <v>557</v>
      </c>
      <c r="C70" s="3" t="str">
        <f>DEC2HEX(HEX2DEC(Table1[[#This Row],[end]])-HEX2DEC(Table1[[#This Row],[start]]))</f>
        <v>100</v>
      </c>
      <c r="D70" s="1" t="s">
        <v>70</v>
      </c>
      <c r="E70" s="1" t="s">
        <v>121</v>
      </c>
      <c r="F70" s="1" t="s">
        <v>124</v>
      </c>
      <c r="G70" s="1" t="s">
        <v>394</v>
      </c>
      <c r="H7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bins.append(BinFile(0x004F6F, 0x100, "mapRound55", "bin", "map", "us"))</v>
      </c>
      <c r="I70" s="1" t="str">
        <f>CONCATENATE(Table1[[#This Row],[name]],":")</f>
        <v>mapRound55:</v>
      </c>
      <c r="J70" s="1" t="str">
        <f>CONCATENATE(".incbin """,Table1[[#This Row],[dir]],"/",Table1[[#This Row],[name]],".",Table1[[#This Row],[ext]],"""")</f>
        <v>.incbin "map/mapRound55.bin"</v>
      </c>
    </row>
    <row r="71" spans="1:10" x14ac:dyDescent="0.25">
      <c r="A71" s="2" t="s">
        <v>557</v>
      </c>
      <c r="B71" s="2" t="s">
        <v>558</v>
      </c>
      <c r="C71" s="3" t="str">
        <f>DEC2HEX(HEX2DEC(Table1[[#This Row],[end]])-HEX2DEC(Table1[[#This Row],[start]]))</f>
        <v>100</v>
      </c>
      <c r="D71" s="1" t="s">
        <v>71</v>
      </c>
      <c r="E71" s="1" t="s">
        <v>121</v>
      </c>
      <c r="F71" s="1" t="s">
        <v>124</v>
      </c>
      <c r="G71" s="1" t="s">
        <v>394</v>
      </c>
      <c r="H7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bins.append(BinFile(0x00506F, 0x100, "mapRound56", "bin", "map", "us"))</v>
      </c>
      <c r="I71" s="1" t="str">
        <f>CONCATENATE(Table1[[#This Row],[name]],":")</f>
        <v>mapRound56:</v>
      </c>
      <c r="J71" s="1" t="str">
        <f>CONCATENATE(".incbin """,Table1[[#This Row],[dir]],"/",Table1[[#This Row],[name]],".",Table1[[#This Row],[ext]],"""")</f>
        <v>.incbin "map/mapRound56.bin"</v>
      </c>
    </row>
    <row r="72" spans="1:10" x14ac:dyDescent="0.25">
      <c r="A72" s="2" t="s">
        <v>558</v>
      </c>
      <c r="B72" s="2" t="s">
        <v>559</v>
      </c>
      <c r="C72" s="3" t="str">
        <f>DEC2HEX(HEX2DEC(Table1[[#This Row],[end]])-HEX2DEC(Table1[[#This Row],[start]]))</f>
        <v>100</v>
      </c>
      <c r="D72" s="1" t="s">
        <v>72</v>
      </c>
      <c r="E72" s="1" t="s">
        <v>121</v>
      </c>
      <c r="F72" s="1" t="s">
        <v>124</v>
      </c>
      <c r="G72" s="1" t="s">
        <v>394</v>
      </c>
      <c r="H7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bins.append(BinFile(0x00516F, 0x100, "mapRound57", "bin", "map", "us"))</v>
      </c>
      <c r="I72" s="1" t="str">
        <f>CONCATENATE(Table1[[#This Row],[name]],":")</f>
        <v>mapRound57:</v>
      </c>
      <c r="J72" s="1" t="str">
        <f>CONCATENATE(".incbin """,Table1[[#This Row],[dir]],"/",Table1[[#This Row],[name]],".",Table1[[#This Row],[ext]],"""")</f>
        <v>.incbin "map/mapRound57.bin"</v>
      </c>
    </row>
    <row r="73" spans="1:10" x14ac:dyDescent="0.25">
      <c r="A73" s="2" t="s">
        <v>559</v>
      </c>
      <c r="B73" s="2" t="s">
        <v>560</v>
      </c>
      <c r="C73" s="3" t="str">
        <f>DEC2HEX(HEX2DEC(Table1[[#This Row],[end]])-HEX2DEC(Table1[[#This Row],[start]]))</f>
        <v>100</v>
      </c>
      <c r="D73" s="1" t="s">
        <v>73</v>
      </c>
      <c r="E73" s="1" t="s">
        <v>121</v>
      </c>
      <c r="F73" s="1" t="s">
        <v>124</v>
      </c>
      <c r="G73" s="1" t="s">
        <v>394</v>
      </c>
      <c r="H7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bins.append(BinFile(0x00526F, 0x100, "mapRound58", "bin", "map", "us"))</v>
      </c>
      <c r="I73" s="1" t="str">
        <f>CONCATENATE(Table1[[#This Row],[name]],":")</f>
        <v>mapRound58:</v>
      </c>
      <c r="J73" s="1" t="str">
        <f>CONCATENATE(".incbin """,Table1[[#This Row],[dir]],"/",Table1[[#This Row],[name]],".",Table1[[#This Row],[ext]],"""")</f>
        <v>.incbin "map/mapRound58.bin"</v>
      </c>
    </row>
    <row r="74" spans="1:10" x14ac:dyDescent="0.25">
      <c r="A74" s="2" t="s">
        <v>560</v>
      </c>
      <c r="B74" s="2" t="s">
        <v>541</v>
      </c>
      <c r="C74" s="3" t="str">
        <f>DEC2HEX(HEX2DEC(Table1[[#This Row],[end]])-HEX2DEC(Table1[[#This Row],[start]]))</f>
        <v>100</v>
      </c>
      <c r="D74" s="1" t="s">
        <v>74</v>
      </c>
      <c r="E74" s="1" t="s">
        <v>121</v>
      </c>
      <c r="F74" s="1" t="s">
        <v>124</v>
      </c>
      <c r="G74" s="1" t="s">
        <v>394</v>
      </c>
      <c r="H7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bins.append(BinFile(0x00536F, 0x100, "mapRound59", "bin", "map", "us"))</v>
      </c>
      <c r="I74" s="1" t="str">
        <f>CONCATENATE(Table1[[#This Row],[name]],":")</f>
        <v>mapRound59:</v>
      </c>
      <c r="J74" s="1" t="str">
        <f>CONCATENATE(".incbin """,Table1[[#This Row],[dir]],"/",Table1[[#This Row],[name]],".",Table1[[#This Row],[ext]],"""")</f>
        <v>.incbin "map/mapRound59.bin"</v>
      </c>
    </row>
    <row r="75" spans="1:10" x14ac:dyDescent="0.25">
      <c r="A75" s="2" t="s">
        <v>561</v>
      </c>
      <c r="B75" s="2" t="s">
        <v>516</v>
      </c>
      <c r="C75" s="3" t="str">
        <f>DEC2HEX(HEX2DEC(Table1[[#This Row],[end]])-HEX2DEC(Table1[[#This Row],[start]]))</f>
        <v>100</v>
      </c>
      <c r="D75" s="1" t="s">
        <v>75</v>
      </c>
      <c r="E75" s="1" t="s">
        <v>121</v>
      </c>
      <c r="F75" s="1" t="s">
        <v>124</v>
      </c>
      <c r="G75" s="1" t="s">
        <v>394</v>
      </c>
      <c r="H7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bins.append(BinFile(0x007A09, 0x100, "mapRound60", "bin", "map", "us"))</v>
      </c>
      <c r="I75" s="1" t="str">
        <f>CONCATENATE(Table1[[#This Row],[name]],":")</f>
        <v>mapRound60:</v>
      </c>
      <c r="J75" s="1" t="str">
        <f>CONCATENATE(".incbin """,Table1[[#This Row],[dir]],"/",Table1[[#This Row],[name]],".",Table1[[#This Row],[ext]],"""")</f>
        <v>.incbin "map/mapRound60.bin"</v>
      </c>
    </row>
    <row r="76" spans="1:10" x14ac:dyDescent="0.25">
      <c r="A76" s="2" t="s">
        <v>562</v>
      </c>
      <c r="B76" s="2" t="s">
        <v>518</v>
      </c>
      <c r="C76" s="3" t="str">
        <f>DEC2HEX(HEX2DEC(Table1[[#This Row],[end]])-HEX2DEC(Table1[[#This Row],[start]]))</f>
        <v>339</v>
      </c>
      <c r="D76" s="1" t="s">
        <v>76</v>
      </c>
      <c r="E76" s="1" t="s">
        <v>121</v>
      </c>
      <c r="F76" s="1" t="s">
        <v>124</v>
      </c>
      <c r="G76" s="1" t="s">
        <v>394</v>
      </c>
      <c r="H7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bins.append(BinFile(0x007310, 0x339, "macWorld4", "bin", "map", "us"))</v>
      </c>
      <c r="I76" s="1" t="str">
        <f>CONCATENATE(Table1[[#This Row],[name]],":")</f>
        <v>macWorld4:</v>
      </c>
      <c r="J76" s="1" t="str">
        <f>CONCATENATE(".incbin """,Table1[[#This Row],[dir]],"/",Table1[[#This Row],[name]],".",Table1[[#This Row],[ext]],"""")</f>
        <v>.incbin "map/macWorld4.bin"</v>
      </c>
    </row>
    <row r="77" spans="1:10" x14ac:dyDescent="0.25">
      <c r="A77" s="2" t="s">
        <v>563</v>
      </c>
      <c r="B77" s="2" t="s">
        <v>564</v>
      </c>
      <c r="C77" s="3" t="str">
        <f>DEC2HEX(HEX2DEC(Table1[[#This Row],[end]])-HEX2DEC(Table1[[#This Row],[start]]))</f>
        <v>100</v>
      </c>
      <c r="D77" s="1" t="s">
        <v>77</v>
      </c>
      <c r="E77" s="1" t="s">
        <v>121</v>
      </c>
      <c r="F77" s="1" t="s">
        <v>124</v>
      </c>
      <c r="G77" s="1" t="s">
        <v>394</v>
      </c>
      <c r="H7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bins.append(BinFile(0x006010, 0x100, "mapRound61", "bin", "map", "us"))</v>
      </c>
      <c r="I77" s="1" t="str">
        <f>CONCATENATE(Table1[[#This Row],[name]],":")</f>
        <v>mapRound61:</v>
      </c>
      <c r="J77" s="1" t="str">
        <f>CONCATENATE(".incbin """,Table1[[#This Row],[dir]],"/",Table1[[#This Row],[name]],".",Table1[[#This Row],[ext]],"""")</f>
        <v>.incbin "map/mapRound61.bin"</v>
      </c>
    </row>
    <row r="78" spans="1:10" x14ac:dyDescent="0.25">
      <c r="A78" s="2" t="s">
        <v>564</v>
      </c>
      <c r="B78" s="2" t="s">
        <v>565</v>
      </c>
      <c r="C78" s="3" t="str">
        <f>DEC2HEX(HEX2DEC(Table1[[#This Row],[end]])-HEX2DEC(Table1[[#This Row],[start]]))</f>
        <v>100</v>
      </c>
      <c r="D78" s="1" t="s">
        <v>78</v>
      </c>
      <c r="E78" s="1" t="s">
        <v>121</v>
      </c>
      <c r="F78" s="1" t="s">
        <v>124</v>
      </c>
      <c r="G78" s="1" t="s">
        <v>394</v>
      </c>
      <c r="H7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bins.append(BinFile(0x006110, 0x100, "mapRound62", "bin", "map", "us"))</v>
      </c>
      <c r="I78" s="1" t="str">
        <f>CONCATENATE(Table1[[#This Row],[name]],":")</f>
        <v>mapRound62:</v>
      </c>
      <c r="J78" s="1" t="str">
        <f>CONCATENATE(".incbin """,Table1[[#This Row],[dir]],"/",Table1[[#This Row],[name]],".",Table1[[#This Row],[ext]],"""")</f>
        <v>.incbin "map/mapRound62.bin"</v>
      </c>
    </row>
    <row r="79" spans="1:10" x14ac:dyDescent="0.25">
      <c r="A79" s="2" t="s">
        <v>565</v>
      </c>
      <c r="B79" s="2" t="s">
        <v>566</v>
      </c>
      <c r="C79" s="3" t="str">
        <f>DEC2HEX(HEX2DEC(Table1[[#This Row],[end]])-HEX2DEC(Table1[[#This Row],[start]]))</f>
        <v>100</v>
      </c>
      <c r="D79" s="1" t="s">
        <v>79</v>
      </c>
      <c r="E79" s="1" t="s">
        <v>121</v>
      </c>
      <c r="F79" s="1" t="s">
        <v>124</v>
      </c>
      <c r="G79" s="1" t="s">
        <v>394</v>
      </c>
      <c r="H7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bins.append(BinFile(0x006210, 0x100, "mapRound63", "bin", "map", "us"))</v>
      </c>
      <c r="I79" s="1" t="str">
        <f>CONCATENATE(Table1[[#This Row],[name]],":")</f>
        <v>mapRound63:</v>
      </c>
      <c r="J79" s="1" t="str">
        <f>CONCATENATE(".incbin """,Table1[[#This Row],[dir]],"/",Table1[[#This Row],[name]],".",Table1[[#This Row],[ext]],"""")</f>
        <v>.incbin "map/mapRound63.bin"</v>
      </c>
    </row>
    <row r="80" spans="1:10" x14ac:dyDescent="0.25">
      <c r="A80" s="2" t="s">
        <v>566</v>
      </c>
      <c r="B80" s="2" t="s">
        <v>567</v>
      </c>
      <c r="C80" s="3" t="str">
        <f>DEC2HEX(HEX2DEC(Table1[[#This Row],[end]])-HEX2DEC(Table1[[#This Row],[start]]))</f>
        <v>100</v>
      </c>
      <c r="D80" s="1" t="s">
        <v>80</v>
      </c>
      <c r="E80" s="1" t="s">
        <v>121</v>
      </c>
      <c r="F80" s="1" t="s">
        <v>124</v>
      </c>
      <c r="G80" s="1" t="s">
        <v>394</v>
      </c>
      <c r="H8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bins.append(BinFile(0x006310, 0x100, "mapRound64", "bin", "map", "us"))</v>
      </c>
      <c r="I80" s="1" t="str">
        <f>CONCATENATE(Table1[[#This Row],[name]],":")</f>
        <v>mapRound64:</v>
      </c>
      <c r="J80" s="1" t="str">
        <f>CONCATENATE(".incbin """,Table1[[#This Row],[dir]],"/",Table1[[#This Row],[name]],".",Table1[[#This Row],[ext]],"""")</f>
        <v>.incbin "map/mapRound64.bin"</v>
      </c>
    </row>
    <row r="81" spans="1:10" x14ac:dyDescent="0.25">
      <c r="A81" s="2" t="s">
        <v>567</v>
      </c>
      <c r="B81" s="2" t="s">
        <v>568</v>
      </c>
      <c r="C81" s="3" t="str">
        <f>DEC2HEX(HEX2DEC(Table1[[#This Row],[end]])-HEX2DEC(Table1[[#This Row],[start]]))</f>
        <v>100</v>
      </c>
      <c r="D81" s="1" t="s">
        <v>81</v>
      </c>
      <c r="E81" s="1" t="s">
        <v>121</v>
      </c>
      <c r="F81" s="1" t="s">
        <v>124</v>
      </c>
      <c r="G81" s="1" t="s">
        <v>394</v>
      </c>
      <c r="H8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bins.append(BinFile(0x006410, 0x100, "mapRound65", "bin", "map", "us"))</v>
      </c>
      <c r="I81" s="1" t="str">
        <f>CONCATENATE(Table1[[#This Row],[name]],":")</f>
        <v>mapRound65:</v>
      </c>
      <c r="J81" s="1" t="str">
        <f>CONCATENATE(".incbin """,Table1[[#This Row],[dir]],"/",Table1[[#This Row],[name]],".",Table1[[#This Row],[ext]],"""")</f>
        <v>.incbin "map/mapRound65.bin"</v>
      </c>
    </row>
    <row r="82" spans="1:10" x14ac:dyDescent="0.25">
      <c r="A82" s="2" t="s">
        <v>568</v>
      </c>
      <c r="B82" s="2" t="s">
        <v>569</v>
      </c>
      <c r="C82" s="3" t="str">
        <f>DEC2HEX(HEX2DEC(Table1[[#This Row],[end]])-HEX2DEC(Table1[[#This Row],[start]]))</f>
        <v>100</v>
      </c>
      <c r="D82" s="1" t="s">
        <v>82</v>
      </c>
      <c r="E82" s="1" t="s">
        <v>121</v>
      </c>
      <c r="F82" s="1" t="s">
        <v>124</v>
      </c>
      <c r="G82" s="1" t="s">
        <v>394</v>
      </c>
      <c r="H8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bins.append(BinFile(0x006510, 0x100, "mapRound66", "bin", "map", "us"))</v>
      </c>
      <c r="I82" s="1" t="str">
        <f>CONCATENATE(Table1[[#This Row],[name]],":")</f>
        <v>mapRound66:</v>
      </c>
      <c r="J82" s="1" t="str">
        <f>CONCATENATE(".incbin """,Table1[[#This Row],[dir]],"/",Table1[[#This Row],[name]],".",Table1[[#This Row],[ext]],"""")</f>
        <v>.incbin "map/mapRound66.bin"</v>
      </c>
    </row>
    <row r="83" spans="1:10" x14ac:dyDescent="0.25">
      <c r="A83" s="2" t="s">
        <v>569</v>
      </c>
      <c r="B83" s="2" t="s">
        <v>570</v>
      </c>
      <c r="C83" s="3" t="str">
        <f>DEC2HEX(HEX2DEC(Table1[[#This Row],[end]])-HEX2DEC(Table1[[#This Row],[start]]))</f>
        <v>100</v>
      </c>
      <c r="D83" s="1" t="s">
        <v>83</v>
      </c>
      <c r="E83" s="1" t="s">
        <v>121</v>
      </c>
      <c r="F83" s="1" t="s">
        <v>124</v>
      </c>
      <c r="G83" s="1" t="s">
        <v>394</v>
      </c>
      <c r="H8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bins.append(BinFile(0x006610, 0x100, "mapRound67", "bin", "map", "us"))</v>
      </c>
      <c r="I83" s="1" t="str">
        <f>CONCATENATE(Table1[[#This Row],[name]],":")</f>
        <v>mapRound67:</v>
      </c>
      <c r="J83" s="1" t="str">
        <f>CONCATENATE(".incbin """,Table1[[#This Row],[dir]],"/",Table1[[#This Row],[name]],".",Table1[[#This Row],[ext]],"""")</f>
        <v>.incbin "map/mapRound67.bin"</v>
      </c>
    </row>
    <row r="84" spans="1:10" x14ac:dyDescent="0.25">
      <c r="A84" s="2" t="s">
        <v>570</v>
      </c>
      <c r="B84" s="2" t="s">
        <v>571</v>
      </c>
      <c r="C84" s="3" t="str">
        <f>DEC2HEX(HEX2DEC(Table1[[#This Row],[end]])-HEX2DEC(Table1[[#This Row],[start]]))</f>
        <v>100</v>
      </c>
      <c r="D84" s="1" t="s">
        <v>84</v>
      </c>
      <c r="E84" s="1" t="s">
        <v>121</v>
      </c>
      <c r="F84" s="1" t="s">
        <v>124</v>
      </c>
      <c r="G84" s="1" t="s">
        <v>394</v>
      </c>
      <c r="H8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bins.append(BinFile(0x006710, 0x100, "mapRound68", "bin", "map", "us"))</v>
      </c>
      <c r="I84" s="1" t="str">
        <f>CONCATENATE(Table1[[#This Row],[name]],":")</f>
        <v>mapRound68:</v>
      </c>
      <c r="J84" s="1" t="str">
        <f>CONCATENATE(".incbin """,Table1[[#This Row],[dir]],"/",Table1[[#This Row],[name]],".",Table1[[#This Row],[ext]],"""")</f>
        <v>.incbin "map/mapRound68.bin"</v>
      </c>
    </row>
    <row r="85" spans="1:10" x14ac:dyDescent="0.25">
      <c r="A85" s="2" t="s">
        <v>571</v>
      </c>
      <c r="B85" s="2" t="s">
        <v>572</v>
      </c>
      <c r="C85" s="3" t="str">
        <f>DEC2HEX(HEX2DEC(Table1[[#This Row],[end]])-HEX2DEC(Table1[[#This Row],[start]]))</f>
        <v>100</v>
      </c>
      <c r="D85" s="1" t="s">
        <v>85</v>
      </c>
      <c r="E85" s="1" t="s">
        <v>121</v>
      </c>
      <c r="F85" s="1" t="s">
        <v>124</v>
      </c>
      <c r="G85" s="1" t="s">
        <v>394</v>
      </c>
      <c r="H8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bins.append(BinFile(0x006810, 0x100, "mapRound69", "bin", "map", "us"))</v>
      </c>
      <c r="I85" s="1" t="str">
        <f>CONCATENATE(Table1[[#This Row],[name]],":")</f>
        <v>mapRound69:</v>
      </c>
      <c r="J85" s="1" t="str">
        <f>CONCATENATE(".incbin """,Table1[[#This Row],[dir]],"/",Table1[[#This Row],[name]],".",Table1[[#This Row],[ext]],"""")</f>
        <v>.incbin "map/mapRound69.bin"</v>
      </c>
    </row>
    <row r="86" spans="1:10" x14ac:dyDescent="0.25">
      <c r="A86" s="2" t="s">
        <v>572</v>
      </c>
      <c r="B86" s="2" t="s">
        <v>573</v>
      </c>
      <c r="C86" s="3" t="str">
        <f>DEC2HEX(HEX2DEC(Table1[[#This Row],[end]])-HEX2DEC(Table1[[#This Row],[start]]))</f>
        <v>100</v>
      </c>
      <c r="D86" s="1" t="s">
        <v>86</v>
      </c>
      <c r="E86" s="1" t="s">
        <v>121</v>
      </c>
      <c r="F86" s="1" t="s">
        <v>124</v>
      </c>
      <c r="G86" s="1" t="s">
        <v>394</v>
      </c>
      <c r="H8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bins.append(BinFile(0x006910, 0x100, "mapRound70", "bin", "map", "us"))</v>
      </c>
      <c r="I86" s="1" t="str">
        <f>CONCATENATE(Table1[[#This Row],[name]],":")</f>
        <v>mapRound70:</v>
      </c>
      <c r="J86" s="1" t="str">
        <f>CONCATENATE(".incbin """,Table1[[#This Row],[dir]],"/",Table1[[#This Row],[name]],".",Table1[[#This Row],[ext]],"""")</f>
        <v>.incbin "map/mapRound70.bin"</v>
      </c>
    </row>
    <row r="87" spans="1:10" x14ac:dyDescent="0.25">
      <c r="A87" s="2" t="s">
        <v>573</v>
      </c>
      <c r="B87" s="2" t="s">
        <v>574</v>
      </c>
      <c r="C87" s="3" t="str">
        <f>DEC2HEX(HEX2DEC(Table1[[#This Row],[end]])-HEX2DEC(Table1[[#This Row],[start]]))</f>
        <v>100</v>
      </c>
      <c r="D87" s="1" t="s">
        <v>87</v>
      </c>
      <c r="E87" s="1" t="s">
        <v>121</v>
      </c>
      <c r="F87" s="1" t="s">
        <v>124</v>
      </c>
      <c r="G87" s="1" t="s">
        <v>394</v>
      </c>
      <c r="H8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bins.append(BinFile(0x006A10, 0x100, "mapRound71", "bin", "map", "us"))</v>
      </c>
      <c r="I87" s="1" t="str">
        <f>CONCATENATE(Table1[[#This Row],[name]],":")</f>
        <v>mapRound71:</v>
      </c>
      <c r="J87" s="1" t="str">
        <f>CONCATENATE(".incbin """,Table1[[#This Row],[dir]],"/",Table1[[#This Row],[name]],".",Table1[[#This Row],[ext]],"""")</f>
        <v>.incbin "map/mapRound71.bin"</v>
      </c>
    </row>
    <row r="88" spans="1:10" x14ac:dyDescent="0.25">
      <c r="A88" s="2" t="s">
        <v>574</v>
      </c>
      <c r="B88" s="2" t="s">
        <v>575</v>
      </c>
      <c r="C88" s="3" t="str">
        <f>DEC2HEX(HEX2DEC(Table1[[#This Row],[end]])-HEX2DEC(Table1[[#This Row],[start]]))</f>
        <v>100</v>
      </c>
      <c r="D88" s="1" t="s">
        <v>88</v>
      </c>
      <c r="E88" s="1" t="s">
        <v>121</v>
      </c>
      <c r="F88" s="1" t="s">
        <v>124</v>
      </c>
      <c r="G88" s="1" t="s">
        <v>394</v>
      </c>
      <c r="H8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bins.append(BinFile(0x006B10, 0x100, "mapRound72", "bin", "map", "us"))</v>
      </c>
      <c r="I88" s="1" t="str">
        <f>CONCATENATE(Table1[[#This Row],[name]],":")</f>
        <v>mapRound72:</v>
      </c>
      <c r="J88" s="1" t="str">
        <f>CONCATENATE(".incbin """,Table1[[#This Row],[dir]],"/",Table1[[#This Row],[name]],".",Table1[[#This Row],[ext]],"""")</f>
        <v>.incbin "map/mapRound72.bin"</v>
      </c>
    </row>
    <row r="89" spans="1:10" x14ac:dyDescent="0.25">
      <c r="A89" s="2" t="s">
        <v>575</v>
      </c>
      <c r="B89" s="2" t="s">
        <v>576</v>
      </c>
      <c r="C89" s="3" t="str">
        <f>DEC2HEX(HEX2DEC(Table1[[#This Row],[end]])-HEX2DEC(Table1[[#This Row],[start]]))</f>
        <v>100</v>
      </c>
      <c r="D89" s="1" t="s">
        <v>89</v>
      </c>
      <c r="E89" s="1" t="s">
        <v>121</v>
      </c>
      <c r="F89" s="1" t="s">
        <v>124</v>
      </c>
      <c r="G89" s="1" t="s">
        <v>394</v>
      </c>
      <c r="H8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bins.append(BinFile(0x006C10, 0x100, "mapRound73", "bin", "map", "us"))</v>
      </c>
      <c r="I89" s="1" t="str">
        <f>CONCATENATE(Table1[[#This Row],[name]],":")</f>
        <v>mapRound73:</v>
      </c>
      <c r="J89" s="1" t="str">
        <f>CONCATENATE(".incbin """,Table1[[#This Row],[dir]],"/",Table1[[#This Row],[name]],".",Table1[[#This Row],[ext]],"""")</f>
        <v>.incbin "map/mapRound73.bin"</v>
      </c>
    </row>
    <row r="90" spans="1:10" x14ac:dyDescent="0.25">
      <c r="A90" s="2" t="s">
        <v>576</v>
      </c>
      <c r="B90" s="2" t="s">
        <v>577</v>
      </c>
      <c r="C90" s="3" t="str">
        <f>DEC2HEX(HEX2DEC(Table1[[#This Row],[end]])-HEX2DEC(Table1[[#This Row],[start]]))</f>
        <v>100</v>
      </c>
      <c r="D90" s="1" t="s">
        <v>90</v>
      </c>
      <c r="E90" s="1" t="s">
        <v>121</v>
      </c>
      <c r="F90" s="1" t="s">
        <v>124</v>
      </c>
      <c r="G90" s="1" t="s">
        <v>394</v>
      </c>
      <c r="H9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bins.append(BinFile(0x006D10, 0x100, "mapRound74", "bin", "map", "us"))</v>
      </c>
      <c r="I90" s="1" t="str">
        <f>CONCATENATE(Table1[[#This Row],[name]],":")</f>
        <v>mapRound74:</v>
      </c>
      <c r="J90" s="1" t="str">
        <f>CONCATENATE(".incbin """,Table1[[#This Row],[dir]],"/",Table1[[#This Row],[name]],".",Table1[[#This Row],[ext]],"""")</f>
        <v>.incbin "map/mapRound74.bin"</v>
      </c>
    </row>
    <row r="91" spans="1:10" x14ac:dyDescent="0.25">
      <c r="A91" s="2" t="s">
        <v>577</v>
      </c>
      <c r="B91" s="2" t="s">
        <v>578</v>
      </c>
      <c r="C91" s="3" t="str">
        <f>DEC2HEX(HEX2DEC(Table1[[#This Row],[end]])-HEX2DEC(Table1[[#This Row],[start]]))</f>
        <v>100</v>
      </c>
      <c r="D91" s="1" t="s">
        <v>91</v>
      </c>
      <c r="E91" s="1" t="s">
        <v>121</v>
      </c>
      <c r="F91" s="1" t="s">
        <v>124</v>
      </c>
      <c r="G91" s="1" t="s">
        <v>394</v>
      </c>
      <c r="H9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bins.append(BinFile(0x006E10, 0x100, "mapRound75", "bin", "map", "us"))</v>
      </c>
      <c r="I91" s="1" t="str">
        <f>CONCATENATE(Table1[[#This Row],[name]],":")</f>
        <v>mapRound75:</v>
      </c>
      <c r="J91" s="1" t="str">
        <f>CONCATENATE(".incbin """,Table1[[#This Row],[dir]],"/",Table1[[#This Row],[name]],".",Table1[[#This Row],[ext]],"""")</f>
        <v>.incbin "map/mapRound75.bin"</v>
      </c>
    </row>
    <row r="92" spans="1:10" x14ac:dyDescent="0.25">
      <c r="A92" s="2" t="s">
        <v>578</v>
      </c>
      <c r="B92" s="2" t="s">
        <v>579</v>
      </c>
      <c r="C92" s="3" t="str">
        <f>DEC2HEX(HEX2DEC(Table1[[#This Row],[end]])-HEX2DEC(Table1[[#This Row],[start]]))</f>
        <v>100</v>
      </c>
      <c r="D92" s="1" t="s">
        <v>92</v>
      </c>
      <c r="E92" s="1" t="s">
        <v>121</v>
      </c>
      <c r="F92" s="1" t="s">
        <v>124</v>
      </c>
      <c r="G92" s="1" t="s">
        <v>394</v>
      </c>
      <c r="H9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bins.append(BinFile(0x006F10, 0x100, "mapRound76", "bin", "map", "us"))</v>
      </c>
      <c r="I92" s="1" t="str">
        <f>CONCATENATE(Table1[[#This Row],[name]],":")</f>
        <v>mapRound76:</v>
      </c>
      <c r="J92" s="1" t="str">
        <f>CONCATENATE(".incbin """,Table1[[#This Row],[dir]],"/",Table1[[#This Row],[name]],".",Table1[[#This Row],[ext]],"""")</f>
        <v>.incbin "map/mapRound76.bin"</v>
      </c>
    </row>
    <row r="93" spans="1:10" x14ac:dyDescent="0.25">
      <c r="A93" s="2" t="s">
        <v>579</v>
      </c>
      <c r="B93" s="2" t="s">
        <v>580</v>
      </c>
      <c r="C93" s="3" t="str">
        <f>DEC2HEX(HEX2DEC(Table1[[#This Row],[end]])-HEX2DEC(Table1[[#This Row],[start]]))</f>
        <v>100</v>
      </c>
      <c r="D93" s="1" t="s">
        <v>93</v>
      </c>
      <c r="E93" s="1" t="s">
        <v>121</v>
      </c>
      <c r="F93" s="1" t="s">
        <v>124</v>
      </c>
      <c r="G93" s="1" t="s">
        <v>394</v>
      </c>
      <c r="H9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bins.append(BinFile(0x007010, 0x100, "mapRound77", "bin", "map", "us"))</v>
      </c>
      <c r="I93" s="1" t="str">
        <f>CONCATENATE(Table1[[#This Row],[name]],":")</f>
        <v>mapRound77:</v>
      </c>
      <c r="J93" s="1" t="str">
        <f>CONCATENATE(".incbin """,Table1[[#This Row],[dir]],"/",Table1[[#This Row],[name]],".",Table1[[#This Row],[ext]],"""")</f>
        <v>.incbin "map/mapRound77.bin"</v>
      </c>
    </row>
    <row r="94" spans="1:10" x14ac:dyDescent="0.25">
      <c r="A94" s="2" t="s">
        <v>580</v>
      </c>
      <c r="B94" s="2" t="s">
        <v>581</v>
      </c>
      <c r="C94" s="3" t="str">
        <f>DEC2HEX(HEX2DEC(Table1[[#This Row],[end]])-HEX2DEC(Table1[[#This Row],[start]]))</f>
        <v>100</v>
      </c>
      <c r="D94" s="1" t="s">
        <v>94</v>
      </c>
      <c r="E94" s="1" t="s">
        <v>121</v>
      </c>
      <c r="F94" s="1" t="s">
        <v>124</v>
      </c>
      <c r="G94" s="1" t="s">
        <v>394</v>
      </c>
      <c r="H9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bins.append(BinFile(0x007110, 0x100, "mapRound78", "bin", "map", "us"))</v>
      </c>
      <c r="I94" s="1" t="str">
        <f>CONCATENATE(Table1[[#This Row],[name]],":")</f>
        <v>mapRound78:</v>
      </c>
      <c r="J94" s="1" t="str">
        <f>CONCATENATE(".incbin """,Table1[[#This Row],[dir]],"/",Table1[[#This Row],[name]],".",Table1[[#This Row],[ext]],"""")</f>
        <v>.incbin "map/mapRound78.bin"</v>
      </c>
    </row>
    <row r="95" spans="1:10" x14ac:dyDescent="0.25">
      <c r="A95" s="2" t="s">
        <v>581</v>
      </c>
      <c r="B95" s="2" t="s">
        <v>562</v>
      </c>
      <c r="C95" s="3" t="str">
        <f>DEC2HEX(HEX2DEC(Table1[[#This Row],[end]])-HEX2DEC(Table1[[#This Row],[start]]))</f>
        <v>100</v>
      </c>
      <c r="D95" s="1" t="s">
        <v>95</v>
      </c>
      <c r="E95" s="1" t="s">
        <v>121</v>
      </c>
      <c r="F95" s="1" t="s">
        <v>124</v>
      </c>
      <c r="G95" s="1" t="s">
        <v>394</v>
      </c>
      <c r="H9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bins.append(BinFile(0x007210, 0x100, "mapRound79", "bin", "map", "us"))</v>
      </c>
      <c r="I95" s="1" t="str">
        <f>CONCATENATE(Table1[[#This Row],[name]],":")</f>
        <v>mapRound79:</v>
      </c>
      <c r="J95" s="1" t="str">
        <f>CONCATENATE(".incbin """,Table1[[#This Row],[dir]],"/",Table1[[#This Row],[name]],".",Table1[[#This Row],[ext]],"""")</f>
        <v>.incbin "map/mapRound79.bin"</v>
      </c>
    </row>
    <row r="96" spans="1:10" x14ac:dyDescent="0.25">
      <c r="A96" s="2" t="s">
        <v>542</v>
      </c>
      <c r="B96" s="2" t="s">
        <v>582</v>
      </c>
      <c r="C96" s="3" t="str">
        <f>DEC2HEX(HEX2DEC(Table1[[#This Row],[end]])-HEX2DEC(Table1[[#This Row],[start]]))</f>
        <v>4B</v>
      </c>
      <c r="D96" s="1" t="s">
        <v>96</v>
      </c>
      <c r="E96" s="1" t="s">
        <v>121</v>
      </c>
      <c r="F96" s="1" t="s">
        <v>124</v>
      </c>
      <c r="G96" s="1" t="s">
        <v>394</v>
      </c>
      <c r="H9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bins.append(BinFile(0x0057F3, 0x4B, "macTractor", "bin", "map", "us"))</v>
      </c>
      <c r="I96" s="1" t="str">
        <f>CONCATENATE(Table1[[#This Row],[name]],":")</f>
        <v>macTractor:</v>
      </c>
      <c r="J96" s="1" t="str">
        <f>CONCATENATE(".incbin """,Table1[[#This Row],[dir]],"/",Table1[[#This Row],[name]],".",Table1[[#This Row],[ext]],"""")</f>
        <v>.incbin "map/macTractor.bin"</v>
      </c>
    </row>
    <row r="97" spans="1:10" x14ac:dyDescent="0.25">
      <c r="A97" s="2" t="s">
        <v>582</v>
      </c>
      <c r="B97" s="2" t="s">
        <v>583</v>
      </c>
      <c r="C97" s="3" t="str">
        <f>DEC2HEX(HEX2DEC(Table1[[#This Row],[end]])-HEX2DEC(Table1[[#This Row],[start]]))</f>
        <v>10</v>
      </c>
      <c r="D97" s="1" t="s">
        <v>97</v>
      </c>
      <c r="E97" s="1" t="s">
        <v>121</v>
      </c>
      <c r="F97" s="1" t="s">
        <v>124</v>
      </c>
      <c r="G97" s="1" t="s">
        <v>394</v>
      </c>
      <c r="H9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bins.append(BinFile(0x00583E, 0x10, "mapTractor", "bin", "map", "us"))</v>
      </c>
      <c r="I97" s="1" t="str">
        <f>CONCATENATE(Table1[[#This Row],[name]],":")</f>
        <v>mapTractor:</v>
      </c>
      <c r="J97" s="1" t="str">
        <f>CONCATENATE(".incbin """,Table1[[#This Row],[dir]],"/",Table1[[#This Row],[name]],".",Table1[[#This Row],[ext]],"""")</f>
        <v>.incbin "map/mapTractor.bin"</v>
      </c>
    </row>
    <row r="98" spans="1:10" x14ac:dyDescent="0.25">
      <c r="A98" s="2" t="s">
        <v>584</v>
      </c>
      <c r="B98" s="2" t="s">
        <v>585</v>
      </c>
      <c r="C98" s="3" t="str">
        <f>DEC2HEX(HEX2DEC(Table1[[#This Row],[end]])-HEX2DEC(Table1[[#This Row],[start]]))</f>
        <v>23</v>
      </c>
      <c r="D98" s="1" t="s">
        <v>98</v>
      </c>
      <c r="E98" s="1" t="s">
        <v>121</v>
      </c>
      <c r="F98" s="1" t="s">
        <v>124</v>
      </c>
      <c r="G98" s="1" t="s">
        <v>394</v>
      </c>
      <c r="H9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bins.append(BinFile(0x005871, 0x23, "macShoeR", "bin", "map", "us"))</v>
      </c>
      <c r="I98" s="1" t="str">
        <f>CONCATENATE(Table1[[#This Row],[name]],":")</f>
        <v>macShoeR:</v>
      </c>
      <c r="J98" s="1" t="str">
        <f>CONCATENATE(".incbin """,Table1[[#This Row],[dir]],"/",Table1[[#This Row],[name]],".",Table1[[#This Row],[ext]],"""")</f>
        <v>.incbin "map/macShoeR.bin"</v>
      </c>
    </row>
    <row r="99" spans="1:10" x14ac:dyDescent="0.25">
      <c r="A99" s="2" t="s">
        <v>583</v>
      </c>
      <c r="B99" s="2" t="s">
        <v>584</v>
      </c>
      <c r="C99" s="3" t="str">
        <f>DEC2HEX(HEX2DEC(Table1[[#This Row],[end]])-HEX2DEC(Table1[[#This Row],[start]]))</f>
        <v>23</v>
      </c>
      <c r="D99" s="1" t="s">
        <v>100</v>
      </c>
      <c r="E99" s="1" t="s">
        <v>121</v>
      </c>
      <c r="F99" s="1" t="s">
        <v>124</v>
      </c>
      <c r="G99" s="1" t="s">
        <v>394</v>
      </c>
      <c r="H9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bins.append(BinFile(0x00584E, 0x23, "macShoeL", "bin", "map", "us"))</v>
      </c>
      <c r="I99" s="1" t="str">
        <f>CONCATENATE(Table1[[#This Row],[name]],":")</f>
        <v>macShoeL:</v>
      </c>
      <c r="J99" s="1" t="str">
        <f>CONCATENATE(".incbin """,Table1[[#This Row],[dir]],"/",Table1[[#This Row],[name]],".",Table1[[#This Row],[ext]],"""")</f>
        <v>.incbin "map/macShoeL.bin"</v>
      </c>
    </row>
    <row r="100" spans="1:10" x14ac:dyDescent="0.25">
      <c r="A100" s="2" t="s">
        <v>585</v>
      </c>
      <c r="B100" s="2" t="s">
        <v>586</v>
      </c>
      <c r="C100" s="3" t="str">
        <f>DEC2HEX(HEX2DEC(Table1[[#This Row],[end]])-HEX2DEC(Table1[[#This Row],[start]]))</f>
        <v>6</v>
      </c>
      <c r="D100" s="1" t="s">
        <v>99</v>
      </c>
      <c r="E100" s="1" t="s">
        <v>121</v>
      </c>
      <c r="F100" s="1" t="s">
        <v>124</v>
      </c>
      <c r="G100" s="1" t="s">
        <v>394</v>
      </c>
      <c r="H10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bins.append(BinFile(0x005894, 0x6, "mapShoe", "bin", "map", "us"))</v>
      </c>
      <c r="I100" s="1" t="str">
        <f>CONCATENATE(Table1[[#This Row],[name]],":")</f>
        <v>mapShoe:</v>
      </c>
      <c r="J100" s="1" t="str">
        <f>CONCATENATE(".incbin """,Table1[[#This Row],[dir]],"/",Table1[[#This Row],[name]],".",Table1[[#This Row],[ext]],"""")</f>
        <v>.incbin "map/mapShoe.bin"</v>
      </c>
    </row>
    <row r="101" spans="1:10" x14ac:dyDescent="0.25">
      <c r="A101" s="2" t="s">
        <v>586</v>
      </c>
      <c r="B101" s="2" t="s">
        <v>587</v>
      </c>
      <c r="C101" s="3" t="str">
        <f>DEC2HEX(HEX2DEC(Table1[[#This Row],[end]])-HEX2DEC(Table1[[#This Row],[start]]))</f>
        <v>B4</v>
      </c>
      <c r="D101" s="1" t="s">
        <v>101</v>
      </c>
      <c r="E101" s="1" t="s">
        <v>121</v>
      </c>
      <c r="F101" s="1" t="s">
        <v>124</v>
      </c>
      <c r="G101" s="1" t="s">
        <v>394</v>
      </c>
      <c r="H10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bins.append(BinFile(0x00589A, 0xB4, "macGameOver", "bin", "map", "us"))</v>
      </c>
      <c r="I101" s="1" t="str">
        <f>CONCATENATE(Table1[[#This Row],[name]],":")</f>
        <v>macGameOver:</v>
      </c>
      <c r="J101" s="1" t="str">
        <f>CONCATENATE(".incbin """,Table1[[#This Row],[dir]],"/",Table1[[#This Row],[name]],".",Table1[[#This Row],[ext]],"""")</f>
        <v>.incbin "map/macGameOver.bin"</v>
      </c>
    </row>
    <row r="102" spans="1:10" x14ac:dyDescent="0.25">
      <c r="A102" s="2" t="s">
        <v>587</v>
      </c>
      <c r="B102" s="2" t="s">
        <v>588</v>
      </c>
      <c r="C102" s="3" t="str">
        <f>DEC2HEX(HEX2DEC(Table1[[#This Row],[end]])-HEX2DEC(Table1[[#This Row],[start]]))</f>
        <v>100</v>
      </c>
      <c r="D102" s="1" t="s">
        <v>102</v>
      </c>
      <c r="E102" s="1" t="s">
        <v>121</v>
      </c>
      <c r="F102" s="1" t="s">
        <v>124</v>
      </c>
      <c r="G102" s="1" t="s">
        <v>394</v>
      </c>
      <c r="H10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bins.append(BinFile(0x00594E, 0x100, "mapGameOver", "bin", "map", "us"))</v>
      </c>
      <c r="I102" s="1" t="str">
        <f>CONCATENATE(Table1[[#This Row],[name]],":")</f>
        <v>mapGameOver:</v>
      </c>
      <c r="J102" s="1" t="str">
        <f>CONCATENATE(".incbin """,Table1[[#This Row],[dir]],"/",Table1[[#This Row],[name]],".",Table1[[#This Row],[ext]],"""")</f>
        <v>.incbin "map/mapGameOver.bin"</v>
      </c>
    </row>
    <row r="103" spans="1:10" x14ac:dyDescent="0.25">
      <c r="A103" s="2" t="s">
        <v>589</v>
      </c>
      <c r="B103" s="2" t="s">
        <v>590</v>
      </c>
      <c r="C103" s="3" t="str">
        <f>DEC2HEX(HEX2DEC(Table1[[#This Row],[end]])-HEX2DEC(Table1[[#This Row],[start]]))</f>
        <v>19</v>
      </c>
      <c r="D103" s="1" t="s">
        <v>103</v>
      </c>
      <c r="E103" s="1" t="s">
        <v>121</v>
      </c>
      <c r="F103" s="1" t="s">
        <v>124</v>
      </c>
      <c r="G103" s="1" t="s">
        <v>394</v>
      </c>
      <c r="H10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bins.append(BinFile(0x003BAE, 0x19, "macFanL", "bin", "map", "us"))</v>
      </c>
      <c r="I103" s="1" t="str">
        <f>CONCATENATE(Table1[[#This Row],[name]],":")</f>
        <v>macFanL:</v>
      </c>
      <c r="J103" s="1" t="str">
        <f>CONCATENATE(".incbin """,Table1[[#This Row],[dir]],"/",Table1[[#This Row],[name]],".",Table1[[#This Row],[ext]],"""")</f>
        <v>.incbin "map/macFanL.bin"</v>
      </c>
    </row>
    <row r="104" spans="1:10" x14ac:dyDescent="0.25">
      <c r="A104" s="2" t="s">
        <v>521</v>
      </c>
      <c r="B104" s="2" t="s">
        <v>589</v>
      </c>
      <c r="C104" s="3" t="str">
        <f>DEC2HEX(HEX2DEC(Table1[[#This Row],[end]])-HEX2DEC(Table1[[#This Row],[start]]))</f>
        <v>19</v>
      </c>
      <c r="D104" s="1" t="s">
        <v>104</v>
      </c>
      <c r="E104" s="1" t="s">
        <v>121</v>
      </c>
      <c r="F104" s="1" t="s">
        <v>124</v>
      </c>
      <c r="G104" s="1" t="s">
        <v>394</v>
      </c>
      <c r="H10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bins.append(BinFile(0x003B95, 0x19, "macFanR", "bin", "map", "us"))</v>
      </c>
      <c r="I104" s="1" t="str">
        <f>CONCATENATE(Table1[[#This Row],[name]],":")</f>
        <v>macFanR:</v>
      </c>
      <c r="J104" s="1" t="str">
        <f>CONCATENATE(".incbin """,Table1[[#This Row],[dir]],"/",Table1[[#This Row],[name]],".",Table1[[#This Row],[ext]],"""")</f>
        <v>.incbin "map/macFanR.bin"</v>
      </c>
    </row>
    <row r="105" spans="1:10" x14ac:dyDescent="0.25">
      <c r="A105" s="2" t="s">
        <v>590</v>
      </c>
      <c r="B105" s="2" t="s">
        <v>591</v>
      </c>
      <c r="C105" s="3" t="str">
        <f>DEC2HEX(HEX2DEC(Table1[[#This Row],[end]])-HEX2DEC(Table1[[#This Row],[start]]))</f>
        <v>4</v>
      </c>
      <c r="D105" s="1" t="s">
        <v>105</v>
      </c>
      <c r="E105" s="1" t="s">
        <v>121</v>
      </c>
      <c r="F105" s="1" t="s">
        <v>124</v>
      </c>
      <c r="G105" s="1" t="s">
        <v>394</v>
      </c>
      <c r="H10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bins.append(BinFile(0x003BC7, 0x4, "mapFan", "bin", "map", "us"))</v>
      </c>
      <c r="I105" s="1" t="str">
        <f>CONCATENATE(Table1[[#This Row],[name]],":")</f>
        <v>mapFan:</v>
      </c>
      <c r="J105" s="1" t="str">
        <f>CONCATENATE(".incbin """,Table1[[#This Row],[dir]],"/",Table1[[#This Row],[name]],".",Table1[[#This Row],[ext]],"""")</f>
        <v>.incbin "map/mapFan.bin"</v>
      </c>
    </row>
    <row r="106" spans="1:10" x14ac:dyDescent="0.25">
      <c r="A106" s="2" t="s">
        <v>592</v>
      </c>
      <c r="B106" s="2" t="s">
        <v>593</v>
      </c>
      <c r="C106" s="3" t="str">
        <f>DEC2HEX(HEX2DEC(Table1[[#This Row],[end]])-HEX2DEC(Table1[[#This Row],[start]]))</f>
        <v>1DB</v>
      </c>
      <c r="D106" s="1" t="s">
        <v>106</v>
      </c>
      <c r="E106" s="1" t="s">
        <v>121</v>
      </c>
      <c r="F106" s="1" t="s">
        <v>124</v>
      </c>
      <c r="G106" s="1" t="s">
        <v>394</v>
      </c>
      <c r="H10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bins.append(BinFile(0x005D4E, 0x1DB, "macBonus", "bin", "map", "us"))</v>
      </c>
      <c r="I106" s="1" t="str">
        <f>CONCATENATE(Table1[[#This Row],[name]],":")</f>
        <v>macBonus:</v>
      </c>
      <c r="J106" s="1" t="str">
        <f>CONCATENATE(".incbin """,Table1[[#This Row],[dir]],"/",Table1[[#This Row],[name]],".",Table1[[#This Row],[ext]],"""")</f>
        <v>.incbin "map/macBonus.bin"</v>
      </c>
    </row>
    <row r="107" spans="1:10" x14ac:dyDescent="0.25">
      <c r="A107" s="2" t="s">
        <v>588</v>
      </c>
      <c r="B107" s="2" t="s">
        <v>594</v>
      </c>
      <c r="C107" s="3" t="str">
        <f>DEC2HEX(HEX2DEC(Table1[[#This Row],[end]])-HEX2DEC(Table1[[#This Row],[start]]))</f>
        <v>100</v>
      </c>
      <c r="D107" s="1" t="s">
        <v>107</v>
      </c>
      <c r="E107" s="1" t="s">
        <v>121</v>
      </c>
      <c r="F107" s="1" t="s">
        <v>124</v>
      </c>
      <c r="G107" s="1" t="s">
        <v>394</v>
      </c>
      <c r="H10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bins.append(BinFile(0x005A4E, 0x100, "mapBonus1", "bin", "map", "us"))</v>
      </c>
      <c r="I107" s="1" t="str">
        <f>CONCATENATE(Table1[[#This Row],[name]],":")</f>
        <v>mapBonus1:</v>
      </c>
      <c r="J107" s="1" t="str">
        <f>CONCATENATE(".incbin """,Table1[[#This Row],[dir]],"/",Table1[[#This Row],[name]],".",Table1[[#This Row],[ext]],"""")</f>
        <v>.incbin "map/mapBonus1.bin"</v>
      </c>
    </row>
    <row r="108" spans="1:10" x14ac:dyDescent="0.25">
      <c r="A108" s="2" t="s">
        <v>594</v>
      </c>
      <c r="B108" s="2" t="s">
        <v>595</v>
      </c>
      <c r="C108" s="3" t="str">
        <f>DEC2HEX(HEX2DEC(Table1[[#This Row],[end]])-HEX2DEC(Table1[[#This Row],[start]]))</f>
        <v>100</v>
      </c>
      <c r="D108" s="1" t="s">
        <v>108</v>
      </c>
      <c r="E108" s="1" t="s">
        <v>121</v>
      </c>
      <c r="F108" s="1" t="s">
        <v>124</v>
      </c>
      <c r="G108" s="1" t="s">
        <v>394</v>
      </c>
      <c r="H10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bins.append(BinFile(0x005B4E, 0x100, "mapBonus2", "bin", "map", "us"))</v>
      </c>
      <c r="I108" s="1" t="str">
        <f>CONCATENATE(Table1[[#This Row],[name]],":")</f>
        <v>mapBonus2:</v>
      </c>
      <c r="J108" s="1" t="str">
        <f>CONCATENATE(".incbin """,Table1[[#This Row],[dir]],"/",Table1[[#This Row],[name]],".",Table1[[#This Row],[ext]],"""")</f>
        <v>.incbin "map/mapBonus2.bin"</v>
      </c>
    </row>
    <row r="109" spans="1:10" x14ac:dyDescent="0.25">
      <c r="A109" s="2" t="s">
        <v>595</v>
      </c>
      <c r="B109" s="2" t="s">
        <v>592</v>
      </c>
      <c r="C109" s="3" t="str">
        <f>DEC2HEX(HEX2DEC(Table1[[#This Row],[end]])-HEX2DEC(Table1[[#This Row],[start]]))</f>
        <v>100</v>
      </c>
      <c r="D109" s="1" t="s">
        <v>109</v>
      </c>
      <c r="E109" s="1" t="s">
        <v>121</v>
      </c>
      <c r="F109" s="1" t="s">
        <v>124</v>
      </c>
      <c r="G109" s="1" t="s">
        <v>394</v>
      </c>
      <c r="H10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bins.append(BinFile(0x005C4E, 0x100, "mapBonus3", "bin", "map", "us"))</v>
      </c>
      <c r="I109" s="1" t="str">
        <f>CONCATENATE(Table1[[#This Row],[name]],":")</f>
        <v>mapBonus3:</v>
      </c>
      <c r="J109" s="1" t="str">
        <f>CONCATENATE(".incbin """,Table1[[#This Row],[dir]],"/",Table1[[#This Row],[name]],".",Table1[[#This Row],[ext]],"""")</f>
        <v>.incbin "map/mapBonus3.bin"</v>
      </c>
    </row>
    <row r="110" spans="1:10" x14ac:dyDescent="0.25">
      <c r="A110" s="2" t="s">
        <v>591</v>
      </c>
      <c r="B110" s="2" t="s">
        <v>596</v>
      </c>
      <c r="C110" s="3" t="str">
        <f>DEC2HEX(HEX2DEC(Table1[[#This Row],[end]])-HEX2DEC(Table1[[#This Row],[start]]))</f>
        <v>109</v>
      </c>
      <c r="D110" s="1" t="s">
        <v>110</v>
      </c>
      <c r="E110" s="1" t="s">
        <v>121</v>
      </c>
      <c r="F110" s="1" t="s">
        <v>124</v>
      </c>
      <c r="G110" s="1" t="s">
        <v>394</v>
      </c>
      <c r="H11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bins.append(BinFile(0x003BCB, 0x109, "macAdventure", "bin", "map", "us"))</v>
      </c>
      <c r="I110" s="1" t="str">
        <f>CONCATENATE(Table1[[#This Row],[name]],":")</f>
        <v>macAdventure:</v>
      </c>
      <c r="J110" s="1" t="str">
        <f>CONCATENATE(".incbin """,Table1[[#This Row],[dir]],"/",Table1[[#This Row],[name]],".",Table1[[#This Row],[ext]],"""")</f>
        <v>.incbin "map/macAdventure.bin"</v>
      </c>
    </row>
    <row r="111" spans="1:10" x14ac:dyDescent="0.25">
      <c r="A111" s="2" t="s">
        <v>596</v>
      </c>
      <c r="B111" s="2" t="s">
        <v>597</v>
      </c>
      <c r="C111" s="3" t="str">
        <f>DEC2HEX(HEX2DEC(Table1[[#This Row],[end]])-HEX2DEC(Table1[[#This Row],[start]]))</f>
        <v>100</v>
      </c>
      <c r="D111" s="1" t="s">
        <v>111</v>
      </c>
      <c r="E111" s="1" t="s">
        <v>121</v>
      </c>
      <c r="F111" s="1" t="s">
        <v>124</v>
      </c>
      <c r="G111" s="1" t="s">
        <v>394</v>
      </c>
      <c r="H11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bins.append(BinFile(0x003CD4, 0x100, "mapAdventure", "bin", "map", "us"))</v>
      </c>
      <c r="I111" s="1" t="str">
        <f>CONCATENATE(Table1[[#This Row],[name]],":")</f>
        <v>mapAdventure:</v>
      </c>
      <c r="J111" s="1" t="str">
        <f>CONCATENATE(".incbin """,Table1[[#This Row],[dir]],"/",Table1[[#This Row],[name]],".",Table1[[#This Row],[ext]],"""")</f>
        <v>.incbin "map/mapAdventure.bin"</v>
      </c>
    </row>
    <row r="112" spans="1:10" x14ac:dyDescent="0.25">
      <c r="A112" s="2" t="s">
        <v>496</v>
      </c>
      <c r="B112" s="2" t="s">
        <v>598</v>
      </c>
      <c r="C112" s="3" t="str">
        <f>DEC2HEX(HEX2DEC(Table1[[#This Row],[end]])-HEX2DEC(Table1[[#This Row],[start]]))</f>
        <v>AA</v>
      </c>
      <c r="D112" s="1" t="s">
        <v>112</v>
      </c>
      <c r="E112" s="1" t="s">
        <v>121</v>
      </c>
      <c r="F112" s="1" t="s">
        <v>124</v>
      </c>
      <c r="G112" s="1" t="s">
        <v>394</v>
      </c>
      <c r="H11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bins.append(BinFile(0x001E1E, 0xAA, "macOpeningStage", "bin", "map", "us"))</v>
      </c>
      <c r="I112" s="1" t="str">
        <f>CONCATENATE(Table1[[#This Row],[name]],":")</f>
        <v>macOpeningStage:</v>
      </c>
      <c r="J112" s="1" t="str">
        <f>CONCATENATE(".incbin """,Table1[[#This Row],[dir]],"/",Table1[[#This Row],[name]],".",Table1[[#This Row],[ext]],"""")</f>
        <v>.incbin "map/macOpeningStage.bin"</v>
      </c>
    </row>
    <row r="113" spans="1:10" x14ac:dyDescent="0.25">
      <c r="A113" s="2" t="s">
        <v>598</v>
      </c>
      <c r="B113" s="2" t="s">
        <v>599</v>
      </c>
      <c r="C113" s="3" t="str">
        <f>DEC2HEX(HEX2DEC(Table1[[#This Row],[end]])-HEX2DEC(Table1[[#This Row],[start]]))</f>
        <v>F0</v>
      </c>
      <c r="D113" s="1" t="s">
        <v>113</v>
      </c>
      <c r="E113" s="1" t="s">
        <v>121</v>
      </c>
      <c r="F113" s="1" t="s">
        <v>124</v>
      </c>
      <c r="G113" s="1" t="s">
        <v>394</v>
      </c>
      <c r="H11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bins.append(BinFile(0x001EC8, 0xF0, "mapOpeningStage", "bin", "map", "us"))</v>
      </c>
      <c r="I113" s="1" t="str">
        <f>CONCATENATE(Table1[[#This Row],[name]],":")</f>
        <v>mapOpeningStage:</v>
      </c>
      <c r="J113" s="1" t="str">
        <f>CONCATENATE(".incbin """,Table1[[#This Row],[dir]],"/",Table1[[#This Row],[name]],".",Table1[[#This Row],[ext]],"""")</f>
        <v>.incbin "map/mapOpeningStage.bin"</v>
      </c>
    </row>
    <row r="114" spans="1:10" x14ac:dyDescent="0.25">
      <c r="A114" s="2" t="s">
        <v>517</v>
      </c>
      <c r="B114" s="2" t="s">
        <v>600</v>
      </c>
      <c r="C114" s="3" t="str">
        <f>DEC2HEX(HEX2DEC(Table1[[#This Row],[end]])-HEX2DEC(Table1[[#This Row],[start]]))</f>
        <v>19</v>
      </c>
      <c r="D114" s="1" t="s">
        <v>114</v>
      </c>
      <c r="E114" s="1" t="s">
        <v>121</v>
      </c>
      <c r="F114" s="1" t="s">
        <v>124</v>
      </c>
      <c r="G114" s="1" t="s">
        <v>394</v>
      </c>
      <c r="H11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bins.append(BinFile(0x007C99, 0x19, "macFlood", "bin", "map", "us"))</v>
      </c>
      <c r="I114" s="1" t="str">
        <f>CONCATENATE(Table1[[#This Row],[name]],":")</f>
        <v>macFlood:</v>
      </c>
      <c r="J114" s="1" t="str">
        <f>CONCATENATE(".incbin """,Table1[[#This Row],[dir]],"/",Table1[[#This Row],[name]],".",Table1[[#This Row],[ext]],"""")</f>
        <v>.incbin "map/macFlood.bin"</v>
      </c>
    </row>
    <row r="115" spans="1:10" x14ac:dyDescent="0.25">
      <c r="A115" s="2" t="s">
        <v>600</v>
      </c>
      <c r="B115" s="2" t="s">
        <v>601</v>
      </c>
      <c r="C115" s="3" t="str">
        <f>DEC2HEX(HEX2DEC(Table1[[#This Row],[end]])-HEX2DEC(Table1[[#This Row],[start]]))</f>
        <v>10</v>
      </c>
      <c r="D115" s="1" t="s">
        <v>115</v>
      </c>
      <c r="E115" s="1" t="s">
        <v>121</v>
      </c>
      <c r="F115" s="1" t="s">
        <v>124</v>
      </c>
      <c r="G115" s="1" t="s">
        <v>394</v>
      </c>
      <c r="H11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bins.append(BinFile(0x007CB2, 0x10, "mapFloodA", "bin", "map", "us"))</v>
      </c>
      <c r="I115" s="1" t="str">
        <f>CONCATENATE(Table1[[#This Row],[name]],":")</f>
        <v>mapFloodA:</v>
      </c>
      <c r="J115" s="1" t="str">
        <f>CONCATENATE(".incbin """,Table1[[#This Row],[dir]],"/",Table1[[#This Row],[name]],".",Table1[[#This Row],[ext]],"""")</f>
        <v>.incbin "map/mapFloodA.bin"</v>
      </c>
    </row>
    <row r="116" spans="1:10" x14ac:dyDescent="0.25">
      <c r="A116" s="2" t="s">
        <v>601</v>
      </c>
      <c r="B116" s="2" t="s">
        <v>602</v>
      </c>
      <c r="C116" s="3" t="str">
        <f>DEC2HEX(HEX2DEC(Table1[[#This Row],[end]])-HEX2DEC(Table1[[#This Row],[start]]))</f>
        <v>10</v>
      </c>
      <c r="D116" s="1" t="s">
        <v>116</v>
      </c>
      <c r="E116" s="1" t="s">
        <v>121</v>
      </c>
      <c r="F116" s="1" t="s">
        <v>124</v>
      </c>
      <c r="G116" s="1" t="s">
        <v>394</v>
      </c>
      <c r="H11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bins.append(BinFile(0x007CC2, 0x10, "mapFloodB", "bin", "map", "us"))</v>
      </c>
      <c r="I116" s="1" t="str">
        <f>CONCATENATE(Table1[[#This Row],[name]],":")</f>
        <v>mapFloodB:</v>
      </c>
      <c r="J116" s="1" t="str">
        <f>CONCATENATE(".incbin """,Table1[[#This Row],[dir]],"/",Table1[[#This Row],[name]],".",Table1[[#This Row],[ext]],"""")</f>
        <v>.incbin "map/mapFloodB.bin"</v>
      </c>
    </row>
    <row r="117" spans="1:10" x14ac:dyDescent="0.25">
      <c r="A117" s="2" t="s">
        <v>602</v>
      </c>
      <c r="B117" s="2" t="s">
        <v>603</v>
      </c>
      <c r="C117" s="3" t="str">
        <f>DEC2HEX(HEX2DEC(Table1[[#This Row],[end]])-HEX2DEC(Table1[[#This Row],[start]]))</f>
        <v>10</v>
      </c>
      <c r="D117" s="1" t="s">
        <v>117</v>
      </c>
      <c r="E117" s="1" t="s">
        <v>121</v>
      </c>
      <c r="F117" s="1" t="s">
        <v>124</v>
      </c>
      <c r="G117" s="1" t="s">
        <v>394</v>
      </c>
      <c r="H11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bins.append(BinFile(0x007CD2, 0x10, "mapFloodC", "bin", "map", "us"))</v>
      </c>
      <c r="I117" s="1" t="str">
        <f>CONCATENATE(Table1[[#This Row],[name]],":")</f>
        <v>mapFloodC:</v>
      </c>
      <c r="J117" s="1" t="str">
        <f>CONCATENATE(".incbin """,Table1[[#This Row],[dir]],"/",Table1[[#This Row],[name]],".",Table1[[#This Row],[ext]],"""")</f>
        <v>.incbin "map/mapFloodC.bin"</v>
      </c>
    </row>
    <row r="118" spans="1:10" x14ac:dyDescent="0.25">
      <c r="A118" s="2" t="s">
        <v>603</v>
      </c>
      <c r="B118" s="2" t="s">
        <v>604</v>
      </c>
      <c r="C118" s="3" t="str">
        <f>DEC2HEX(HEX2DEC(Table1[[#This Row],[end]])-HEX2DEC(Table1[[#This Row],[start]]))</f>
        <v>20D</v>
      </c>
      <c r="D118" s="1" t="s">
        <v>118</v>
      </c>
      <c r="E118" s="1" t="s">
        <v>121</v>
      </c>
      <c r="F118" s="1" t="s">
        <v>124</v>
      </c>
      <c r="G118" s="1" t="s">
        <v>394</v>
      </c>
      <c r="H11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bins.append(BinFile(0x007CE2, 0x20D, "macEnding", "bin", "map", "us"))</v>
      </c>
      <c r="I118" s="1" t="str">
        <f>CONCATENATE(Table1[[#This Row],[name]],":")</f>
        <v>macEnding:</v>
      </c>
      <c r="J118" s="1" t="str">
        <f>CONCATENATE(".incbin """,Table1[[#This Row],[dir]],"/",Table1[[#This Row],[name]],".",Table1[[#This Row],[ext]],"""")</f>
        <v>.incbin "map/macEnding.bin"</v>
      </c>
    </row>
    <row r="119" spans="1:10" x14ac:dyDescent="0.25">
      <c r="A119" s="2" t="s">
        <v>604</v>
      </c>
      <c r="B119" s="2" t="s">
        <v>605</v>
      </c>
      <c r="C119" s="3" t="str">
        <f>DEC2HEX(HEX2DEC(Table1[[#This Row],[end]])-HEX2DEC(Table1[[#This Row],[start]]))</f>
        <v>F0</v>
      </c>
      <c r="D119" s="1" t="s">
        <v>119</v>
      </c>
      <c r="E119" s="1" t="s">
        <v>121</v>
      </c>
      <c r="F119" s="1" t="s">
        <v>124</v>
      </c>
      <c r="G119" s="1" t="s">
        <v>394</v>
      </c>
      <c r="H11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bins.append(BinFile(0x007EEF, 0xF0, "mapEnding", "bin", "map", "us"))</v>
      </c>
      <c r="I119" s="1" t="str">
        <f>CONCATENATE(Table1[[#This Row],[name]],":")</f>
        <v>mapEnding:</v>
      </c>
      <c r="J119" s="1" t="str">
        <f>CONCATENATE(".incbin """,Table1[[#This Row],[dir]],"/",Table1[[#This Row],[name]],".",Table1[[#This Row],[ext]],"""")</f>
        <v>.incbin "map/mapEnding.bin"</v>
      </c>
    </row>
    <row r="120" spans="1:10" x14ac:dyDescent="0.25">
      <c r="A120" s="2" t="s">
        <v>540</v>
      </c>
      <c r="B120" s="2" t="s">
        <v>561</v>
      </c>
      <c r="C120" s="3" t="str">
        <f>DEC2HEX(HEX2DEC(Table1[[#This Row],[end]])-HEX2DEC(Table1[[#This Row],[start]]))</f>
        <v>D0</v>
      </c>
      <c r="D120" s="1" t="s">
        <v>120</v>
      </c>
      <c r="E120" s="1" t="s">
        <v>121</v>
      </c>
      <c r="F120" s="1" t="s">
        <v>124</v>
      </c>
      <c r="G120" s="1" t="s">
        <v>394</v>
      </c>
      <c r="H12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bins.append(BinFile(0x007939, 0xD0, "mapRound40B", "bin", "map", "us"))</v>
      </c>
      <c r="I120" s="1" t="str">
        <f>CONCATENATE(Table1[[#This Row],[name]],":")</f>
        <v>mapRound40B:</v>
      </c>
      <c r="J120" s="1" t="str">
        <f>CONCATENATE(".incbin """,Table1[[#This Row],[dir]],"/",Table1[[#This Row],[name]],".",Table1[[#This Row],[ext]],"""")</f>
        <v>.incbin "map/mapRound40B.bin"</v>
      </c>
    </row>
    <row r="121" spans="1:10" x14ac:dyDescent="0.25">
      <c r="A121" s="2" t="s">
        <v>489</v>
      </c>
      <c r="B121" s="2" t="s">
        <v>690</v>
      </c>
      <c r="C121" s="3" t="str">
        <f>DEC2HEX(HEX2DEC(Table1[[#This Row],[end]])-HEX2DEC(Table1[[#This Row],[start]]))</f>
        <v>28A</v>
      </c>
      <c r="D121" s="1" t="s">
        <v>687</v>
      </c>
      <c r="E121" s="1" t="s">
        <v>121</v>
      </c>
      <c r="F121" s="1" t="s">
        <v>126</v>
      </c>
      <c r="G121" s="1" t="s">
        <v>394</v>
      </c>
      <c r="H12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bins.append(BinFile(0x002010, 0x28A, "macTitle_JP", "bin", "map", "jp"))</v>
      </c>
      <c r="I121" s="1" t="str">
        <f>CONCATENATE(Table1[[#This Row],[name]],":")</f>
        <v>macTitle_JP:</v>
      </c>
      <c r="J121" s="1" t="str">
        <f>CONCATENATE(".incbin """,Table1[[#This Row],[dir]],"/",Table1[[#This Row],[name]],".",Table1[[#This Row],[ext]],"""")</f>
        <v>.incbin "map/macTitle_JP.bin"</v>
      </c>
    </row>
    <row r="122" spans="1:10" x14ac:dyDescent="0.25">
      <c r="A122" s="2" t="s">
        <v>690</v>
      </c>
      <c r="B122" s="2" t="s">
        <v>691</v>
      </c>
      <c r="C122" s="3" t="str">
        <f>DEC2HEX(HEX2DEC(Table1[[#This Row],[end]])-HEX2DEC(Table1[[#This Row],[start]]))</f>
        <v>100</v>
      </c>
      <c r="D122" s="1" t="s">
        <v>688</v>
      </c>
      <c r="E122" s="1" t="s">
        <v>121</v>
      </c>
      <c r="F122" s="1" t="s">
        <v>126</v>
      </c>
      <c r="G122" s="1" t="s">
        <v>394</v>
      </c>
      <c r="H12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bins.append(BinFile(0x00229A, 0x100, "mapTitle_JP", "bin", "map", "jp"))</v>
      </c>
      <c r="I122" s="1" t="str">
        <f>CONCATENATE(Table1[[#This Row],[name]],":")</f>
        <v>mapTitle_JP:</v>
      </c>
      <c r="J122" s="1" t="str">
        <f>CONCATENATE(".incbin """,Table1[[#This Row],[dir]],"/",Table1[[#This Row],[name]],".",Table1[[#This Row],[ext]],"""")</f>
        <v>.incbin "map/mapTitle_JP.bin"</v>
      </c>
    </row>
    <row r="123" spans="1:10" x14ac:dyDescent="0.25">
      <c r="A123" s="2" t="s">
        <v>692</v>
      </c>
      <c r="B123" s="2" t="s">
        <v>693</v>
      </c>
      <c r="C123" s="3" t="str">
        <f>DEC2HEX(HEX2DEC(Table1[[#This Row],[end]])-HEX2DEC(Table1[[#This Row],[start]]))</f>
        <v>100</v>
      </c>
      <c r="D123" s="1" t="s">
        <v>689</v>
      </c>
      <c r="E123" s="1" t="s">
        <v>121</v>
      </c>
      <c r="F123" s="1" t="s">
        <v>126</v>
      </c>
      <c r="G123" s="1" t="s">
        <v>394</v>
      </c>
      <c r="H12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bins.append(BinFile(0x003CD9, 0x100, "mapAdventure_JP", "bin", "map", "jp"))</v>
      </c>
      <c r="I123" s="1" t="str">
        <f>CONCATENATE(Table1[[#This Row],[name]],":")</f>
        <v>mapAdventure_JP:</v>
      </c>
      <c r="J123" s="1" t="str">
        <f>CONCATENATE(".incbin """,Table1[[#This Row],[dir]],"/",Table1[[#This Row],[name]],".",Table1[[#This Row],[ext]],"""")</f>
        <v>.incbin "map/mapAdventure_JP.bin"</v>
      </c>
    </row>
    <row r="124" spans="1:10" x14ac:dyDescent="0.25">
      <c r="A124" s="2" t="s">
        <v>606</v>
      </c>
      <c r="B124" s="2" t="s">
        <v>607</v>
      </c>
      <c r="C124" s="3" t="str">
        <f>DEC2HEX(HEX2DEC(Table1[[#This Row],[end]])-HEX2DEC(Table1[[#This Row],[start]]))</f>
        <v>40</v>
      </c>
      <c r="D124" s="1" t="s">
        <v>398</v>
      </c>
      <c r="E124" s="1" t="s">
        <v>121</v>
      </c>
      <c r="F124" s="1" t="s">
        <v>124</v>
      </c>
      <c r="G124" s="1" t="s">
        <v>395</v>
      </c>
      <c r="H12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bins.append(BinFile(0x00C0B8, 0x40, "flowRound01", "bin", "flow", "us"))</v>
      </c>
      <c r="I124" s="1" t="str">
        <f>CONCATENATE(Table1[[#This Row],[name]],":")</f>
        <v>flowRound01:</v>
      </c>
      <c r="J124" s="1" t="str">
        <f>CONCATENATE(".incbin """,Table1[[#This Row],[dir]],"/",Table1[[#This Row],[name]],".",Table1[[#This Row],[ext]],"""")</f>
        <v>.incbin "flow/flowRound01.bin"</v>
      </c>
    </row>
    <row r="125" spans="1:10" x14ac:dyDescent="0.25">
      <c r="A125" s="2" t="s">
        <v>607</v>
      </c>
      <c r="B125" s="2" t="s">
        <v>608</v>
      </c>
      <c r="C125" s="3" t="str">
        <f>DEC2HEX(HEX2DEC(Table1[[#This Row],[end]])-HEX2DEC(Table1[[#This Row],[start]]))</f>
        <v>40</v>
      </c>
      <c r="D125" s="1" t="s">
        <v>399</v>
      </c>
      <c r="E125" s="1" t="s">
        <v>121</v>
      </c>
      <c r="F125" s="1" t="s">
        <v>124</v>
      </c>
      <c r="G125" s="1" t="s">
        <v>395</v>
      </c>
      <c r="H12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bins.append(BinFile(0x00C0F8, 0x40, "flowRound02", "bin", "flow", "us"))</v>
      </c>
      <c r="I125" s="1" t="str">
        <f>CONCATENATE(Table1[[#This Row],[name]],":")</f>
        <v>flowRound02:</v>
      </c>
      <c r="J125" s="1" t="str">
        <f>CONCATENATE(".incbin """,Table1[[#This Row],[dir]],"/",Table1[[#This Row],[name]],".",Table1[[#This Row],[ext]],"""")</f>
        <v>.incbin "flow/flowRound02.bin"</v>
      </c>
    </row>
    <row r="126" spans="1:10" x14ac:dyDescent="0.25">
      <c r="A126" s="2" t="s">
        <v>608</v>
      </c>
      <c r="B126" s="2" t="s">
        <v>609</v>
      </c>
      <c r="C126" s="3" t="str">
        <f>DEC2HEX(HEX2DEC(Table1[[#This Row],[end]])-HEX2DEC(Table1[[#This Row],[start]]))</f>
        <v>40</v>
      </c>
      <c r="D126" s="1" t="s">
        <v>400</v>
      </c>
      <c r="E126" s="1" t="s">
        <v>121</v>
      </c>
      <c r="F126" s="1" t="s">
        <v>124</v>
      </c>
      <c r="G126" s="1" t="s">
        <v>395</v>
      </c>
      <c r="H12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bins.append(BinFile(0x00C138, 0x40, "flowRound03", "bin", "flow", "us"))</v>
      </c>
      <c r="I126" s="1" t="str">
        <f>CONCATENATE(Table1[[#This Row],[name]],":")</f>
        <v>flowRound03:</v>
      </c>
      <c r="J126" s="1" t="str">
        <f>CONCATENATE(".incbin """,Table1[[#This Row],[dir]],"/",Table1[[#This Row],[name]],".",Table1[[#This Row],[ext]],"""")</f>
        <v>.incbin "flow/flowRound03.bin"</v>
      </c>
    </row>
    <row r="127" spans="1:10" x14ac:dyDescent="0.25">
      <c r="A127" s="2" t="s">
        <v>609</v>
      </c>
      <c r="B127" s="2" t="s">
        <v>610</v>
      </c>
      <c r="C127" s="3" t="str">
        <f>DEC2HEX(HEX2DEC(Table1[[#This Row],[end]])-HEX2DEC(Table1[[#This Row],[start]]))</f>
        <v>40</v>
      </c>
      <c r="D127" s="1" t="s">
        <v>401</v>
      </c>
      <c r="E127" s="1" t="s">
        <v>121</v>
      </c>
      <c r="F127" s="1" t="s">
        <v>124</v>
      </c>
      <c r="G127" s="1" t="s">
        <v>395</v>
      </c>
      <c r="H12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bins.append(BinFile(0x00C178, 0x40, "flowRound04", "bin", "flow", "us"))</v>
      </c>
      <c r="I127" s="1" t="str">
        <f>CONCATENATE(Table1[[#This Row],[name]],":")</f>
        <v>flowRound04:</v>
      </c>
      <c r="J127" s="1" t="str">
        <f>CONCATENATE(".incbin """,Table1[[#This Row],[dir]],"/",Table1[[#This Row],[name]],".",Table1[[#This Row],[ext]],"""")</f>
        <v>.incbin "flow/flowRound04.bin"</v>
      </c>
    </row>
    <row r="128" spans="1:10" x14ac:dyDescent="0.25">
      <c r="A128" s="2" t="s">
        <v>610</v>
      </c>
      <c r="B128" s="2" t="s">
        <v>611</v>
      </c>
      <c r="C128" s="3" t="str">
        <f>DEC2HEX(HEX2DEC(Table1[[#This Row],[end]])-HEX2DEC(Table1[[#This Row],[start]]))</f>
        <v>40</v>
      </c>
      <c r="D128" s="1" t="s">
        <v>402</v>
      </c>
      <c r="E128" s="1" t="s">
        <v>121</v>
      </c>
      <c r="F128" s="1" t="s">
        <v>124</v>
      </c>
      <c r="G128" s="1" t="s">
        <v>395</v>
      </c>
      <c r="H12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bins.append(BinFile(0x00C1B8, 0x40, "flowRound05", "bin", "flow", "us"))</v>
      </c>
      <c r="I128" s="1" t="str">
        <f>CONCATENATE(Table1[[#This Row],[name]],":")</f>
        <v>flowRound05:</v>
      </c>
      <c r="J128" s="1" t="str">
        <f>CONCATENATE(".incbin """,Table1[[#This Row],[dir]],"/",Table1[[#This Row],[name]],".",Table1[[#This Row],[ext]],"""")</f>
        <v>.incbin "flow/flowRound05.bin"</v>
      </c>
    </row>
    <row r="129" spans="1:10" x14ac:dyDescent="0.25">
      <c r="A129" s="2" t="s">
        <v>611</v>
      </c>
      <c r="B129" s="2" t="s">
        <v>612</v>
      </c>
      <c r="C129" s="3" t="str">
        <f>DEC2HEX(HEX2DEC(Table1[[#This Row],[end]])-HEX2DEC(Table1[[#This Row],[start]]))</f>
        <v>40</v>
      </c>
      <c r="D129" s="1" t="s">
        <v>403</v>
      </c>
      <c r="E129" s="1" t="s">
        <v>121</v>
      </c>
      <c r="F129" s="1" t="s">
        <v>124</v>
      </c>
      <c r="G129" s="1" t="s">
        <v>395</v>
      </c>
      <c r="H12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bins.append(BinFile(0x00C1F8, 0x40, "flowRound06", "bin", "flow", "us"))</v>
      </c>
      <c r="I129" s="1" t="str">
        <f>CONCATENATE(Table1[[#This Row],[name]],":")</f>
        <v>flowRound06:</v>
      </c>
      <c r="J129" s="1" t="str">
        <f>CONCATENATE(".incbin """,Table1[[#This Row],[dir]],"/",Table1[[#This Row],[name]],".",Table1[[#This Row],[ext]],"""")</f>
        <v>.incbin "flow/flowRound06.bin"</v>
      </c>
    </row>
    <row r="130" spans="1:10" x14ac:dyDescent="0.25">
      <c r="A130" s="2" t="s">
        <v>612</v>
      </c>
      <c r="B130" s="2" t="s">
        <v>613</v>
      </c>
      <c r="C130" s="3" t="str">
        <f>DEC2HEX(HEX2DEC(Table1[[#This Row],[end]])-HEX2DEC(Table1[[#This Row],[start]]))</f>
        <v>40</v>
      </c>
      <c r="D130" s="1" t="s">
        <v>404</v>
      </c>
      <c r="E130" s="1" t="s">
        <v>121</v>
      </c>
      <c r="F130" s="1" t="s">
        <v>124</v>
      </c>
      <c r="G130" s="1" t="s">
        <v>395</v>
      </c>
      <c r="H13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bins.append(BinFile(0x00C238, 0x40, "flowRound07", "bin", "flow", "us"))</v>
      </c>
      <c r="I130" s="1" t="str">
        <f>CONCATENATE(Table1[[#This Row],[name]],":")</f>
        <v>flowRound07:</v>
      </c>
      <c r="J130" s="1" t="str">
        <f>CONCATENATE(".incbin """,Table1[[#This Row],[dir]],"/",Table1[[#This Row],[name]],".",Table1[[#This Row],[ext]],"""")</f>
        <v>.incbin "flow/flowRound07.bin"</v>
      </c>
    </row>
    <row r="131" spans="1:10" x14ac:dyDescent="0.25">
      <c r="A131" s="2" t="s">
        <v>613</v>
      </c>
      <c r="B131" s="2" t="s">
        <v>614</v>
      </c>
      <c r="C131" s="3" t="str">
        <f>DEC2HEX(HEX2DEC(Table1[[#This Row],[end]])-HEX2DEC(Table1[[#This Row],[start]]))</f>
        <v>40</v>
      </c>
      <c r="D131" s="1" t="s">
        <v>405</v>
      </c>
      <c r="E131" s="1" t="s">
        <v>121</v>
      </c>
      <c r="F131" s="1" t="s">
        <v>124</v>
      </c>
      <c r="G131" s="1" t="s">
        <v>395</v>
      </c>
      <c r="H13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bins.append(BinFile(0x00C278, 0x40, "flowRound08", "bin", "flow", "us"))</v>
      </c>
      <c r="I131" s="1" t="str">
        <f>CONCATENATE(Table1[[#This Row],[name]],":")</f>
        <v>flowRound08:</v>
      </c>
      <c r="J131" s="1" t="str">
        <f>CONCATENATE(".incbin """,Table1[[#This Row],[dir]],"/",Table1[[#This Row],[name]],".",Table1[[#This Row],[ext]],"""")</f>
        <v>.incbin "flow/flowRound08.bin"</v>
      </c>
    </row>
    <row r="132" spans="1:10" x14ac:dyDescent="0.25">
      <c r="A132" s="2" t="s">
        <v>614</v>
      </c>
      <c r="B132" s="2" t="s">
        <v>615</v>
      </c>
      <c r="C132" s="3" t="str">
        <f>DEC2HEX(HEX2DEC(Table1[[#This Row],[end]])-HEX2DEC(Table1[[#This Row],[start]]))</f>
        <v>40</v>
      </c>
      <c r="D132" s="1" t="s">
        <v>406</v>
      </c>
      <c r="E132" s="1" t="s">
        <v>121</v>
      </c>
      <c r="F132" s="1" t="s">
        <v>124</v>
      </c>
      <c r="G132" s="1" t="s">
        <v>395</v>
      </c>
      <c r="H13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bins.append(BinFile(0x00C2B8, 0x40, "flowRound09", "bin", "flow", "us"))</v>
      </c>
      <c r="I132" s="1" t="str">
        <f>CONCATENATE(Table1[[#This Row],[name]],":")</f>
        <v>flowRound09:</v>
      </c>
      <c r="J132" s="1" t="str">
        <f>CONCATENATE(".incbin """,Table1[[#This Row],[dir]],"/",Table1[[#This Row],[name]],".",Table1[[#This Row],[ext]],"""")</f>
        <v>.incbin "flow/flowRound09.bin"</v>
      </c>
    </row>
    <row r="133" spans="1:10" x14ac:dyDescent="0.25">
      <c r="A133" s="2" t="s">
        <v>615</v>
      </c>
      <c r="B133" s="2" t="s">
        <v>616</v>
      </c>
      <c r="C133" s="3" t="str">
        <f>DEC2HEX(HEX2DEC(Table1[[#This Row],[end]])-HEX2DEC(Table1[[#This Row],[start]]))</f>
        <v>40</v>
      </c>
      <c r="D133" s="1" t="s">
        <v>407</v>
      </c>
      <c r="E133" s="1" t="s">
        <v>121</v>
      </c>
      <c r="F133" s="1" t="s">
        <v>124</v>
      </c>
      <c r="G133" s="1" t="s">
        <v>395</v>
      </c>
      <c r="H13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bins.append(BinFile(0x00C2F8, 0x40, "flowRound10", "bin", "flow", "us"))</v>
      </c>
      <c r="I133" s="1" t="str">
        <f>CONCATENATE(Table1[[#This Row],[name]],":")</f>
        <v>flowRound10:</v>
      </c>
      <c r="J133" s="1" t="str">
        <f>CONCATENATE(".incbin """,Table1[[#This Row],[dir]],"/",Table1[[#This Row],[name]],".",Table1[[#This Row],[ext]],"""")</f>
        <v>.incbin "flow/flowRound10.bin"</v>
      </c>
    </row>
    <row r="134" spans="1:10" x14ac:dyDescent="0.25">
      <c r="A134" s="2" t="s">
        <v>616</v>
      </c>
      <c r="B134" s="2" t="s">
        <v>617</v>
      </c>
      <c r="C134" s="3" t="str">
        <f>DEC2HEX(HEX2DEC(Table1[[#This Row],[end]])-HEX2DEC(Table1[[#This Row],[start]]))</f>
        <v>40</v>
      </c>
      <c r="D134" s="1" t="s">
        <v>408</v>
      </c>
      <c r="E134" s="1" t="s">
        <v>121</v>
      </c>
      <c r="F134" s="1" t="s">
        <v>124</v>
      </c>
      <c r="G134" s="1" t="s">
        <v>395</v>
      </c>
      <c r="H13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bins.append(BinFile(0x00C338, 0x40, "flowRound11", "bin", "flow", "us"))</v>
      </c>
      <c r="I134" s="1" t="str">
        <f>CONCATENATE(Table1[[#This Row],[name]],":")</f>
        <v>flowRound11:</v>
      </c>
      <c r="J134" s="1" t="str">
        <f>CONCATENATE(".incbin """,Table1[[#This Row],[dir]],"/",Table1[[#This Row],[name]],".",Table1[[#This Row],[ext]],"""")</f>
        <v>.incbin "flow/flowRound11.bin"</v>
      </c>
    </row>
    <row r="135" spans="1:10" x14ac:dyDescent="0.25">
      <c r="A135" s="2" t="s">
        <v>617</v>
      </c>
      <c r="B135" s="2" t="s">
        <v>618</v>
      </c>
      <c r="C135" s="3" t="str">
        <f>DEC2HEX(HEX2DEC(Table1[[#This Row],[end]])-HEX2DEC(Table1[[#This Row],[start]]))</f>
        <v>40</v>
      </c>
      <c r="D135" s="1" t="s">
        <v>409</v>
      </c>
      <c r="E135" s="1" t="s">
        <v>121</v>
      </c>
      <c r="F135" s="1" t="s">
        <v>124</v>
      </c>
      <c r="G135" s="1" t="s">
        <v>395</v>
      </c>
      <c r="H13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bins.append(BinFile(0x00C378, 0x40, "flowRound12", "bin", "flow", "us"))</v>
      </c>
      <c r="I135" s="1" t="str">
        <f>CONCATENATE(Table1[[#This Row],[name]],":")</f>
        <v>flowRound12:</v>
      </c>
      <c r="J135" s="1" t="str">
        <f>CONCATENATE(".incbin """,Table1[[#This Row],[dir]],"/",Table1[[#This Row],[name]],".",Table1[[#This Row],[ext]],"""")</f>
        <v>.incbin "flow/flowRound12.bin"</v>
      </c>
    </row>
    <row r="136" spans="1:10" x14ac:dyDescent="0.25">
      <c r="A136" s="2" t="s">
        <v>618</v>
      </c>
      <c r="B136" s="2" t="s">
        <v>619</v>
      </c>
      <c r="C136" s="3" t="str">
        <f>DEC2HEX(HEX2DEC(Table1[[#This Row],[end]])-HEX2DEC(Table1[[#This Row],[start]]))</f>
        <v>40</v>
      </c>
      <c r="D136" s="1" t="s">
        <v>410</v>
      </c>
      <c r="E136" s="1" t="s">
        <v>121</v>
      </c>
      <c r="F136" s="1" t="s">
        <v>124</v>
      </c>
      <c r="G136" s="1" t="s">
        <v>395</v>
      </c>
      <c r="H13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bins.append(BinFile(0x00C3B8, 0x40, "flowRound13", "bin", "flow", "us"))</v>
      </c>
      <c r="I136" s="1" t="str">
        <f>CONCATENATE(Table1[[#This Row],[name]],":")</f>
        <v>flowRound13:</v>
      </c>
      <c r="J136" s="1" t="str">
        <f>CONCATENATE(".incbin """,Table1[[#This Row],[dir]],"/",Table1[[#This Row],[name]],".",Table1[[#This Row],[ext]],"""")</f>
        <v>.incbin "flow/flowRound13.bin"</v>
      </c>
    </row>
    <row r="137" spans="1:10" x14ac:dyDescent="0.25">
      <c r="A137" s="2" t="s">
        <v>619</v>
      </c>
      <c r="B137" s="2" t="s">
        <v>620</v>
      </c>
      <c r="C137" s="3" t="str">
        <f>DEC2HEX(HEX2DEC(Table1[[#This Row],[end]])-HEX2DEC(Table1[[#This Row],[start]]))</f>
        <v>40</v>
      </c>
      <c r="D137" s="1" t="s">
        <v>411</v>
      </c>
      <c r="E137" s="1" t="s">
        <v>121</v>
      </c>
      <c r="F137" s="1" t="s">
        <v>124</v>
      </c>
      <c r="G137" s="1" t="s">
        <v>395</v>
      </c>
      <c r="H13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bins.append(BinFile(0x00C3F8, 0x40, "flowRound14", "bin", "flow", "us"))</v>
      </c>
      <c r="I137" s="1" t="str">
        <f>CONCATENATE(Table1[[#This Row],[name]],":")</f>
        <v>flowRound14:</v>
      </c>
      <c r="J137" s="1" t="str">
        <f>CONCATENATE(".incbin """,Table1[[#This Row],[dir]],"/",Table1[[#This Row],[name]],".",Table1[[#This Row],[ext]],"""")</f>
        <v>.incbin "flow/flowRound14.bin"</v>
      </c>
    </row>
    <row r="138" spans="1:10" x14ac:dyDescent="0.25">
      <c r="A138" s="2" t="s">
        <v>620</v>
      </c>
      <c r="B138" s="2" t="s">
        <v>621</v>
      </c>
      <c r="C138" s="3" t="str">
        <f>DEC2HEX(HEX2DEC(Table1[[#This Row],[end]])-HEX2DEC(Table1[[#This Row],[start]]))</f>
        <v>40</v>
      </c>
      <c r="D138" s="1" t="s">
        <v>412</v>
      </c>
      <c r="E138" s="1" t="s">
        <v>121</v>
      </c>
      <c r="F138" s="1" t="s">
        <v>124</v>
      </c>
      <c r="G138" s="1" t="s">
        <v>395</v>
      </c>
      <c r="H13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bins.append(BinFile(0x00C438, 0x40, "flowRound15", "bin", "flow", "us"))</v>
      </c>
      <c r="I138" s="1" t="str">
        <f>CONCATENATE(Table1[[#This Row],[name]],":")</f>
        <v>flowRound15:</v>
      </c>
      <c r="J138" s="1" t="str">
        <f>CONCATENATE(".incbin """,Table1[[#This Row],[dir]],"/",Table1[[#This Row],[name]],".",Table1[[#This Row],[ext]],"""")</f>
        <v>.incbin "flow/flowRound15.bin"</v>
      </c>
    </row>
    <row r="139" spans="1:10" x14ac:dyDescent="0.25">
      <c r="A139" s="2" t="s">
        <v>621</v>
      </c>
      <c r="B139" s="2" t="s">
        <v>622</v>
      </c>
      <c r="C139" s="3" t="str">
        <f>DEC2HEX(HEX2DEC(Table1[[#This Row],[end]])-HEX2DEC(Table1[[#This Row],[start]]))</f>
        <v>40</v>
      </c>
      <c r="D139" s="1" t="s">
        <v>413</v>
      </c>
      <c r="E139" s="1" t="s">
        <v>121</v>
      </c>
      <c r="F139" s="1" t="s">
        <v>124</v>
      </c>
      <c r="G139" s="1" t="s">
        <v>395</v>
      </c>
      <c r="H13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bins.append(BinFile(0x00C478, 0x40, "flowRound16", "bin", "flow", "us"))</v>
      </c>
      <c r="I139" s="1" t="str">
        <f>CONCATENATE(Table1[[#This Row],[name]],":")</f>
        <v>flowRound16:</v>
      </c>
      <c r="J139" s="1" t="str">
        <f>CONCATENATE(".incbin """,Table1[[#This Row],[dir]],"/",Table1[[#This Row],[name]],".",Table1[[#This Row],[ext]],"""")</f>
        <v>.incbin "flow/flowRound16.bin"</v>
      </c>
    </row>
    <row r="140" spans="1:10" x14ac:dyDescent="0.25">
      <c r="A140" s="2" t="s">
        <v>622</v>
      </c>
      <c r="B140" s="2" t="s">
        <v>623</v>
      </c>
      <c r="C140" s="3" t="str">
        <f>DEC2HEX(HEX2DEC(Table1[[#This Row],[end]])-HEX2DEC(Table1[[#This Row],[start]]))</f>
        <v>40</v>
      </c>
      <c r="D140" s="1" t="s">
        <v>414</v>
      </c>
      <c r="E140" s="1" t="s">
        <v>121</v>
      </c>
      <c r="F140" s="1" t="s">
        <v>124</v>
      </c>
      <c r="G140" s="1" t="s">
        <v>395</v>
      </c>
      <c r="H14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bins.append(BinFile(0x00C4B8, 0x40, "flowRound17", "bin", "flow", "us"))</v>
      </c>
      <c r="I140" s="1" t="str">
        <f>CONCATENATE(Table1[[#This Row],[name]],":")</f>
        <v>flowRound17:</v>
      </c>
      <c r="J140" s="1" t="str">
        <f>CONCATENATE(".incbin """,Table1[[#This Row],[dir]],"/",Table1[[#This Row],[name]],".",Table1[[#This Row],[ext]],"""")</f>
        <v>.incbin "flow/flowRound17.bin"</v>
      </c>
    </row>
    <row r="141" spans="1:10" x14ac:dyDescent="0.25">
      <c r="A141" s="2" t="s">
        <v>623</v>
      </c>
      <c r="B141" s="2" t="s">
        <v>624</v>
      </c>
      <c r="C141" s="3" t="str">
        <f>DEC2HEX(HEX2DEC(Table1[[#This Row],[end]])-HEX2DEC(Table1[[#This Row],[start]]))</f>
        <v>40</v>
      </c>
      <c r="D141" s="1" t="s">
        <v>415</v>
      </c>
      <c r="E141" s="1" t="s">
        <v>121</v>
      </c>
      <c r="F141" s="1" t="s">
        <v>124</v>
      </c>
      <c r="G141" s="1" t="s">
        <v>395</v>
      </c>
      <c r="H14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bins.append(BinFile(0x00C4F8, 0x40, "flowRound18", "bin", "flow", "us"))</v>
      </c>
      <c r="I141" s="1" t="str">
        <f>CONCATENATE(Table1[[#This Row],[name]],":")</f>
        <v>flowRound18:</v>
      </c>
      <c r="J141" s="1" t="str">
        <f>CONCATENATE(".incbin """,Table1[[#This Row],[dir]],"/",Table1[[#This Row],[name]],".",Table1[[#This Row],[ext]],"""")</f>
        <v>.incbin "flow/flowRound18.bin"</v>
      </c>
    </row>
    <row r="142" spans="1:10" x14ac:dyDescent="0.25">
      <c r="A142" s="2" t="s">
        <v>624</v>
      </c>
      <c r="B142" s="2" t="s">
        <v>625</v>
      </c>
      <c r="C142" s="3" t="str">
        <f>DEC2HEX(HEX2DEC(Table1[[#This Row],[end]])-HEX2DEC(Table1[[#This Row],[start]]))</f>
        <v>40</v>
      </c>
      <c r="D142" s="1" t="s">
        <v>416</v>
      </c>
      <c r="E142" s="1" t="s">
        <v>121</v>
      </c>
      <c r="F142" s="1" t="s">
        <v>124</v>
      </c>
      <c r="G142" s="1" t="s">
        <v>395</v>
      </c>
      <c r="H14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bins.append(BinFile(0x00C538, 0x40, "flowRound19", "bin", "flow", "us"))</v>
      </c>
      <c r="I142" s="1" t="str">
        <f>CONCATENATE(Table1[[#This Row],[name]],":")</f>
        <v>flowRound19:</v>
      </c>
      <c r="J142" s="1" t="str">
        <f>CONCATENATE(".incbin """,Table1[[#This Row],[dir]],"/",Table1[[#This Row],[name]],".",Table1[[#This Row],[ext]],"""")</f>
        <v>.incbin "flow/flowRound19.bin"</v>
      </c>
    </row>
    <row r="143" spans="1:10" x14ac:dyDescent="0.25">
      <c r="A143" s="2" t="s">
        <v>625</v>
      </c>
      <c r="B143" s="2" t="s">
        <v>626</v>
      </c>
      <c r="C143" s="3" t="str">
        <f>DEC2HEX(HEX2DEC(Table1[[#This Row],[end]])-HEX2DEC(Table1[[#This Row],[start]]))</f>
        <v>40</v>
      </c>
      <c r="D143" s="1" t="s">
        <v>417</v>
      </c>
      <c r="E143" s="1" t="s">
        <v>121</v>
      </c>
      <c r="F143" s="1" t="s">
        <v>124</v>
      </c>
      <c r="G143" s="1" t="s">
        <v>395</v>
      </c>
      <c r="H14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bins.append(BinFile(0x00C578, 0x40, "flowRound21", "bin", "flow", "us"))</v>
      </c>
      <c r="I143" s="1" t="str">
        <f>CONCATENATE(Table1[[#This Row],[name]],":")</f>
        <v>flowRound21:</v>
      </c>
      <c r="J143" s="1" t="str">
        <f>CONCATENATE(".incbin """,Table1[[#This Row],[dir]],"/",Table1[[#This Row],[name]],".",Table1[[#This Row],[ext]],"""")</f>
        <v>.incbin "flow/flowRound21.bin"</v>
      </c>
    </row>
    <row r="144" spans="1:10" x14ac:dyDescent="0.25">
      <c r="A144" s="2" t="s">
        <v>626</v>
      </c>
      <c r="B144" s="2" t="s">
        <v>627</v>
      </c>
      <c r="C144" s="3" t="str">
        <f>DEC2HEX(HEX2DEC(Table1[[#This Row],[end]])-HEX2DEC(Table1[[#This Row],[start]]))</f>
        <v>40</v>
      </c>
      <c r="D144" s="1" t="s">
        <v>418</v>
      </c>
      <c r="E144" s="1" t="s">
        <v>121</v>
      </c>
      <c r="F144" s="1" t="s">
        <v>124</v>
      </c>
      <c r="G144" s="1" t="s">
        <v>395</v>
      </c>
      <c r="H14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bins.append(BinFile(0x00C5B8, 0x40, "flowRound22", "bin", "flow", "us"))</v>
      </c>
      <c r="I144" s="1" t="str">
        <f>CONCATENATE(Table1[[#This Row],[name]],":")</f>
        <v>flowRound22:</v>
      </c>
      <c r="J144" s="1" t="str">
        <f>CONCATENATE(".incbin """,Table1[[#This Row],[dir]],"/",Table1[[#This Row],[name]],".",Table1[[#This Row],[ext]],"""")</f>
        <v>.incbin "flow/flowRound22.bin"</v>
      </c>
    </row>
    <row r="145" spans="1:10" x14ac:dyDescent="0.25">
      <c r="A145" s="2" t="s">
        <v>627</v>
      </c>
      <c r="B145" s="2" t="s">
        <v>628</v>
      </c>
      <c r="C145" s="3" t="str">
        <f>DEC2HEX(HEX2DEC(Table1[[#This Row],[end]])-HEX2DEC(Table1[[#This Row],[start]]))</f>
        <v>40</v>
      </c>
      <c r="D145" s="1" t="s">
        <v>419</v>
      </c>
      <c r="E145" s="1" t="s">
        <v>121</v>
      </c>
      <c r="F145" s="1" t="s">
        <v>124</v>
      </c>
      <c r="G145" s="1" t="s">
        <v>395</v>
      </c>
      <c r="H14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bins.append(BinFile(0x00C5F8, 0x40, "flowRound23", "bin", "flow", "us"))</v>
      </c>
      <c r="I145" s="1" t="str">
        <f>CONCATENATE(Table1[[#This Row],[name]],":")</f>
        <v>flowRound23:</v>
      </c>
      <c r="J145" s="1" t="str">
        <f>CONCATENATE(".incbin """,Table1[[#This Row],[dir]],"/",Table1[[#This Row],[name]],".",Table1[[#This Row],[ext]],"""")</f>
        <v>.incbin "flow/flowRound23.bin"</v>
      </c>
    </row>
    <row r="146" spans="1:10" x14ac:dyDescent="0.25">
      <c r="A146" s="2" t="s">
        <v>628</v>
      </c>
      <c r="B146" s="2" t="s">
        <v>629</v>
      </c>
      <c r="C146" s="3" t="str">
        <f>DEC2HEX(HEX2DEC(Table1[[#This Row],[end]])-HEX2DEC(Table1[[#This Row],[start]]))</f>
        <v>40</v>
      </c>
      <c r="D146" s="1" t="s">
        <v>420</v>
      </c>
      <c r="E146" s="1" t="s">
        <v>121</v>
      </c>
      <c r="F146" s="1" t="s">
        <v>124</v>
      </c>
      <c r="G146" s="1" t="s">
        <v>395</v>
      </c>
      <c r="H14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bins.append(BinFile(0x00C638, 0x40, "flowRound24", "bin", "flow", "us"))</v>
      </c>
      <c r="I146" s="1" t="str">
        <f>CONCATENATE(Table1[[#This Row],[name]],":")</f>
        <v>flowRound24:</v>
      </c>
      <c r="J146" s="1" t="str">
        <f>CONCATENATE(".incbin """,Table1[[#This Row],[dir]],"/",Table1[[#This Row],[name]],".",Table1[[#This Row],[ext]],"""")</f>
        <v>.incbin "flow/flowRound24.bin"</v>
      </c>
    </row>
    <row r="147" spans="1:10" x14ac:dyDescent="0.25">
      <c r="A147" s="2" t="s">
        <v>629</v>
      </c>
      <c r="B147" s="2" t="s">
        <v>630</v>
      </c>
      <c r="C147" s="3" t="str">
        <f>DEC2HEX(HEX2DEC(Table1[[#This Row],[end]])-HEX2DEC(Table1[[#This Row],[start]]))</f>
        <v>40</v>
      </c>
      <c r="D147" s="1" t="s">
        <v>421</v>
      </c>
      <c r="E147" s="1" t="s">
        <v>121</v>
      </c>
      <c r="F147" s="1" t="s">
        <v>124</v>
      </c>
      <c r="G147" s="1" t="s">
        <v>395</v>
      </c>
      <c r="H14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bins.append(BinFile(0x00C678, 0x40, "flowRound25", "bin", "flow", "us"))</v>
      </c>
      <c r="I147" s="1" t="str">
        <f>CONCATENATE(Table1[[#This Row],[name]],":")</f>
        <v>flowRound25:</v>
      </c>
      <c r="J147" s="1" t="str">
        <f>CONCATENATE(".incbin """,Table1[[#This Row],[dir]],"/",Table1[[#This Row],[name]],".",Table1[[#This Row],[ext]],"""")</f>
        <v>.incbin "flow/flowRound25.bin"</v>
      </c>
    </row>
    <row r="148" spans="1:10" x14ac:dyDescent="0.25">
      <c r="A148" s="2" t="s">
        <v>630</v>
      </c>
      <c r="B148" s="2" t="s">
        <v>631</v>
      </c>
      <c r="C148" s="3" t="str">
        <f>DEC2HEX(HEX2DEC(Table1[[#This Row],[end]])-HEX2DEC(Table1[[#This Row],[start]]))</f>
        <v>40</v>
      </c>
      <c r="D148" s="1" t="s">
        <v>422</v>
      </c>
      <c r="E148" s="1" t="s">
        <v>121</v>
      </c>
      <c r="F148" s="1" t="s">
        <v>124</v>
      </c>
      <c r="G148" s="1" t="s">
        <v>395</v>
      </c>
      <c r="H14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bins.append(BinFile(0x00C6B8, 0x40, "flowRound26", "bin", "flow", "us"))</v>
      </c>
      <c r="I148" s="1" t="str">
        <f>CONCATENATE(Table1[[#This Row],[name]],":")</f>
        <v>flowRound26:</v>
      </c>
      <c r="J148" s="1" t="str">
        <f>CONCATENATE(".incbin """,Table1[[#This Row],[dir]],"/",Table1[[#This Row],[name]],".",Table1[[#This Row],[ext]],"""")</f>
        <v>.incbin "flow/flowRound26.bin"</v>
      </c>
    </row>
    <row r="149" spans="1:10" x14ac:dyDescent="0.25">
      <c r="A149" s="2" t="s">
        <v>631</v>
      </c>
      <c r="B149" s="2" t="s">
        <v>632</v>
      </c>
      <c r="C149" s="3" t="str">
        <f>DEC2HEX(HEX2DEC(Table1[[#This Row],[end]])-HEX2DEC(Table1[[#This Row],[start]]))</f>
        <v>40</v>
      </c>
      <c r="D149" s="1" t="s">
        <v>423</v>
      </c>
      <c r="E149" s="1" t="s">
        <v>121</v>
      </c>
      <c r="F149" s="1" t="s">
        <v>124</v>
      </c>
      <c r="G149" s="1" t="s">
        <v>395</v>
      </c>
      <c r="H14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bins.append(BinFile(0x00C6F8, 0x40, "flowRound27", "bin", "flow", "us"))</v>
      </c>
      <c r="I149" s="1" t="str">
        <f>CONCATENATE(Table1[[#This Row],[name]],":")</f>
        <v>flowRound27:</v>
      </c>
      <c r="J149" s="1" t="str">
        <f>CONCATENATE(".incbin """,Table1[[#This Row],[dir]],"/",Table1[[#This Row],[name]],".",Table1[[#This Row],[ext]],"""")</f>
        <v>.incbin "flow/flowRound27.bin"</v>
      </c>
    </row>
    <row r="150" spans="1:10" x14ac:dyDescent="0.25">
      <c r="A150" s="2" t="s">
        <v>632</v>
      </c>
      <c r="B150" s="2" t="s">
        <v>633</v>
      </c>
      <c r="C150" s="3" t="str">
        <f>DEC2HEX(HEX2DEC(Table1[[#This Row],[end]])-HEX2DEC(Table1[[#This Row],[start]]))</f>
        <v>40</v>
      </c>
      <c r="D150" s="1" t="s">
        <v>424</v>
      </c>
      <c r="E150" s="1" t="s">
        <v>121</v>
      </c>
      <c r="F150" s="1" t="s">
        <v>124</v>
      </c>
      <c r="G150" s="1" t="s">
        <v>395</v>
      </c>
      <c r="H15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bins.append(BinFile(0x00C738, 0x40, "flowRound28", "bin", "flow", "us"))</v>
      </c>
      <c r="I150" s="1" t="str">
        <f>CONCATENATE(Table1[[#This Row],[name]],":")</f>
        <v>flowRound28:</v>
      </c>
      <c r="J150" s="1" t="str">
        <f>CONCATENATE(".incbin """,Table1[[#This Row],[dir]],"/",Table1[[#This Row],[name]],".",Table1[[#This Row],[ext]],"""")</f>
        <v>.incbin "flow/flowRound28.bin"</v>
      </c>
    </row>
    <row r="151" spans="1:10" x14ac:dyDescent="0.25">
      <c r="A151" s="2" t="s">
        <v>633</v>
      </c>
      <c r="B151" s="2" t="s">
        <v>634</v>
      </c>
      <c r="C151" s="3" t="str">
        <f>DEC2HEX(HEX2DEC(Table1[[#This Row],[end]])-HEX2DEC(Table1[[#This Row],[start]]))</f>
        <v>40</v>
      </c>
      <c r="D151" s="1" t="s">
        <v>425</v>
      </c>
      <c r="E151" s="1" t="s">
        <v>121</v>
      </c>
      <c r="F151" s="1" t="s">
        <v>124</v>
      </c>
      <c r="G151" s="1" t="s">
        <v>395</v>
      </c>
      <c r="H15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bins.append(BinFile(0x00C778, 0x40, "flowRound29", "bin", "flow", "us"))</v>
      </c>
      <c r="I151" s="1" t="str">
        <f>CONCATENATE(Table1[[#This Row],[name]],":")</f>
        <v>flowRound29:</v>
      </c>
      <c r="J151" s="1" t="str">
        <f>CONCATENATE(".incbin """,Table1[[#This Row],[dir]],"/",Table1[[#This Row],[name]],".",Table1[[#This Row],[ext]],"""")</f>
        <v>.incbin "flow/flowRound29.bin"</v>
      </c>
    </row>
    <row r="152" spans="1:10" x14ac:dyDescent="0.25">
      <c r="A152" s="2" t="s">
        <v>634</v>
      </c>
      <c r="B152" s="2" t="s">
        <v>635</v>
      </c>
      <c r="C152" s="3" t="str">
        <f>DEC2HEX(HEX2DEC(Table1[[#This Row],[end]])-HEX2DEC(Table1[[#This Row],[start]]))</f>
        <v>40</v>
      </c>
      <c r="D152" s="1" t="s">
        <v>426</v>
      </c>
      <c r="E152" s="1" t="s">
        <v>121</v>
      </c>
      <c r="F152" s="1" t="s">
        <v>124</v>
      </c>
      <c r="G152" s="1" t="s">
        <v>395</v>
      </c>
      <c r="H15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bins.append(BinFile(0x00C7B8, 0x40, "flowRound30", "bin", "flow", "us"))</v>
      </c>
      <c r="I152" s="1" t="str">
        <f>CONCATENATE(Table1[[#This Row],[name]],":")</f>
        <v>flowRound30:</v>
      </c>
      <c r="J152" s="1" t="str">
        <f>CONCATENATE(".incbin """,Table1[[#This Row],[dir]],"/",Table1[[#This Row],[name]],".",Table1[[#This Row],[ext]],"""")</f>
        <v>.incbin "flow/flowRound30.bin"</v>
      </c>
    </row>
    <row r="153" spans="1:10" x14ac:dyDescent="0.25">
      <c r="A153" s="2" t="s">
        <v>635</v>
      </c>
      <c r="B153" s="2" t="s">
        <v>636</v>
      </c>
      <c r="C153" s="3" t="str">
        <f>DEC2HEX(HEX2DEC(Table1[[#This Row],[end]])-HEX2DEC(Table1[[#This Row],[start]]))</f>
        <v>40</v>
      </c>
      <c r="D153" s="1" t="s">
        <v>427</v>
      </c>
      <c r="E153" s="1" t="s">
        <v>121</v>
      </c>
      <c r="F153" s="1" t="s">
        <v>124</v>
      </c>
      <c r="G153" s="1" t="s">
        <v>395</v>
      </c>
      <c r="H15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bins.append(BinFile(0x00C7F8, 0x40, "flowRound31", "bin", "flow", "us"))</v>
      </c>
      <c r="I153" s="1" t="str">
        <f>CONCATENATE(Table1[[#This Row],[name]],":")</f>
        <v>flowRound31:</v>
      </c>
      <c r="J153" s="1" t="str">
        <f>CONCATENATE(".incbin """,Table1[[#This Row],[dir]],"/",Table1[[#This Row],[name]],".",Table1[[#This Row],[ext]],"""")</f>
        <v>.incbin "flow/flowRound31.bin"</v>
      </c>
    </row>
    <row r="154" spans="1:10" x14ac:dyDescent="0.25">
      <c r="A154" s="2" t="s">
        <v>636</v>
      </c>
      <c r="B154" s="2" t="s">
        <v>637</v>
      </c>
      <c r="C154" s="3" t="str">
        <f>DEC2HEX(HEX2DEC(Table1[[#This Row],[end]])-HEX2DEC(Table1[[#This Row],[start]]))</f>
        <v>40</v>
      </c>
      <c r="D154" s="1" t="s">
        <v>428</v>
      </c>
      <c r="E154" s="1" t="s">
        <v>121</v>
      </c>
      <c r="F154" s="1" t="s">
        <v>124</v>
      </c>
      <c r="G154" s="1" t="s">
        <v>395</v>
      </c>
      <c r="H15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bins.append(BinFile(0x00C838, 0x40, "flowRound32", "bin", "flow", "us"))</v>
      </c>
      <c r="I154" s="1" t="str">
        <f>CONCATENATE(Table1[[#This Row],[name]],":")</f>
        <v>flowRound32:</v>
      </c>
      <c r="J154" s="1" t="str">
        <f>CONCATENATE(".incbin """,Table1[[#This Row],[dir]],"/",Table1[[#This Row],[name]],".",Table1[[#This Row],[ext]],"""")</f>
        <v>.incbin "flow/flowRound32.bin"</v>
      </c>
    </row>
    <row r="155" spans="1:10" x14ac:dyDescent="0.25">
      <c r="A155" s="2" t="s">
        <v>637</v>
      </c>
      <c r="B155" s="2" t="s">
        <v>638</v>
      </c>
      <c r="C155" s="3" t="str">
        <f>DEC2HEX(HEX2DEC(Table1[[#This Row],[end]])-HEX2DEC(Table1[[#This Row],[start]]))</f>
        <v>40</v>
      </c>
      <c r="D155" s="1" t="s">
        <v>429</v>
      </c>
      <c r="E155" s="1" t="s">
        <v>121</v>
      </c>
      <c r="F155" s="1" t="s">
        <v>124</v>
      </c>
      <c r="G155" s="1" t="s">
        <v>395</v>
      </c>
      <c r="H15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bins.append(BinFile(0x00C878, 0x40, "flowRound33", "bin", "flow", "us"))</v>
      </c>
      <c r="I155" s="1" t="str">
        <f>CONCATENATE(Table1[[#This Row],[name]],":")</f>
        <v>flowRound33:</v>
      </c>
      <c r="J155" s="1" t="str">
        <f>CONCATENATE(".incbin """,Table1[[#This Row],[dir]],"/",Table1[[#This Row],[name]],".",Table1[[#This Row],[ext]],"""")</f>
        <v>.incbin "flow/flowRound33.bin"</v>
      </c>
    </row>
    <row r="156" spans="1:10" x14ac:dyDescent="0.25">
      <c r="A156" s="2" t="s">
        <v>638</v>
      </c>
      <c r="B156" s="2" t="s">
        <v>639</v>
      </c>
      <c r="C156" s="3" t="str">
        <f>DEC2HEX(HEX2DEC(Table1[[#This Row],[end]])-HEX2DEC(Table1[[#This Row],[start]]))</f>
        <v>40</v>
      </c>
      <c r="D156" s="1" t="s">
        <v>430</v>
      </c>
      <c r="E156" s="1" t="s">
        <v>121</v>
      </c>
      <c r="F156" s="1" t="s">
        <v>124</v>
      </c>
      <c r="G156" s="1" t="s">
        <v>395</v>
      </c>
      <c r="H15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bins.append(BinFile(0x00C8B8, 0x40, "flowRound34", "bin", "flow", "us"))</v>
      </c>
      <c r="I156" s="1" t="str">
        <f>CONCATENATE(Table1[[#This Row],[name]],":")</f>
        <v>flowRound34:</v>
      </c>
      <c r="J156" s="1" t="str">
        <f>CONCATENATE(".incbin """,Table1[[#This Row],[dir]],"/",Table1[[#This Row],[name]],".",Table1[[#This Row],[ext]],"""")</f>
        <v>.incbin "flow/flowRound34.bin"</v>
      </c>
    </row>
    <row r="157" spans="1:10" x14ac:dyDescent="0.25">
      <c r="A157" s="2" t="s">
        <v>639</v>
      </c>
      <c r="B157" s="2" t="s">
        <v>640</v>
      </c>
      <c r="C157" s="3" t="str">
        <f>DEC2HEX(HEX2DEC(Table1[[#This Row],[end]])-HEX2DEC(Table1[[#This Row],[start]]))</f>
        <v>40</v>
      </c>
      <c r="D157" s="1" t="s">
        <v>431</v>
      </c>
      <c r="E157" s="1" t="s">
        <v>121</v>
      </c>
      <c r="F157" s="1" t="s">
        <v>124</v>
      </c>
      <c r="G157" s="1" t="s">
        <v>395</v>
      </c>
      <c r="H15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bins.append(BinFile(0x00C8F8, 0x40, "flowRound35", "bin", "flow", "us"))</v>
      </c>
      <c r="I157" s="1" t="str">
        <f>CONCATENATE(Table1[[#This Row],[name]],":")</f>
        <v>flowRound35:</v>
      </c>
      <c r="J157" s="1" t="str">
        <f>CONCATENATE(".incbin """,Table1[[#This Row],[dir]],"/",Table1[[#This Row],[name]],".",Table1[[#This Row],[ext]],"""")</f>
        <v>.incbin "flow/flowRound35.bin"</v>
      </c>
    </row>
    <row r="158" spans="1:10" x14ac:dyDescent="0.25">
      <c r="A158" s="2" t="s">
        <v>640</v>
      </c>
      <c r="B158" s="2" t="s">
        <v>641</v>
      </c>
      <c r="C158" s="3" t="str">
        <f>DEC2HEX(HEX2DEC(Table1[[#This Row],[end]])-HEX2DEC(Table1[[#This Row],[start]]))</f>
        <v>40</v>
      </c>
      <c r="D158" s="1" t="s">
        <v>432</v>
      </c>
      <c r="E158" s="1" t="s">
        <v>121</v>
      </c>
      <c r="F158" s="1" t="s">
        <v>124</v>
      </c>
      <c r="G158" s="1" t="s">
        <v>395</v>
      </c>
      <c r="H15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bins.append(BinFile(0x00C938, 0x40, "flowRound36", "bin", "flow", "us"))</v>
      </c>
      <c r="I158" s="1" t="str">
        <f>CONCATENATE(Table1[[#This Row],[name]],":")</f>
        <v>flowRound36:</v>
      </c>
      <c r="J158" s="1" t="str">
        <f>CONCATENATE(".incbin """,Table1[[#This Row],[dir]],"/",Table1[[#This Row],[name]],".",Table1[[#This Row],[ext]],"""")</f>
        <v>.incbin "flow/flowRound36.bin"</v>
      </c>
    </row>
    <row r="159" spans="1:10" x14ac:dyDescent="0.25">
      <c r="A159" s="2" t="s">
        <v>641</v>
      </c>
      <c r="B159" s="2" t="s">
        <v>642</v>
      </c>
      <c r="C159" s="3" t="str">
        <f>DEC2HEX(HEX2DEC(Table1[[#This Row],[end]])-HEX2DEC(Table1[[#This Row],[start]]))</f>
        <v>40</v>
      </c>
      <c r="D159" s="1" t="s">
        <v>433</v>
      </c>
      <c r="E159" s="1" t="s">
        <v>121</v>
      </c>
      <c r="F159" s="1" t="s">
        <v>124</v>
      </c>
      <c r="G159" s="1" t="s">
        <v>395</v>
      </c>
      <c r="H15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bins.append(BinFile(0x00C978, 0x40, "flowRound37", "bin", "flow", "us"))</v>
      </c>
      <c r="I159" s="1" t="str">
        <f>CONCATENATE(Table1[[#This Row],[name]],":")</f>
        <v>flowRound37:</v>
      </c>
      <c r="J159" s="1" t="str">
        <f>CONCATENATE(".incbin """,Table1[[#This Row],[dir]],"/",Table1[[#This Row],[name]],".",Table1[[#This Row],[ext]],"""")</f>
        <v>.incbin "flow/flowRound37.bin"</v>
      </c>
    </row>
    <row r="160" spans="1:10" x14ac:dyDescent="0.25">
      <c r="A160" s="2" t="s">
        <v>642</v>
      </c>
      <c r="B160" s="2" t="s">
        <v>643</v>
      </c>
      <c r="C160" s="3" t="str">
        <f>DEC2HEX(HEX2DEC(Table1[[#This Row],[end]])-HEX2DEC(Table1[[#This Row],[start]]))</f>
        <v>40</v>
      </c>
      <c r="D160" s="1" t="s">
        <v>434</v>
      </c>
      <c r="E160" s="1" t="s">
        <v>121</v>
      </c>
      <c r="F160" s="1" t="s">
        <v>124</v>
      </c>
      <c r="G160" s="1" t="s">
        <v>395</v>
      </c>
      <c r="H16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bins.append(BinFile(0x00C9B8, 0x40, "flowRound38", "bin", "flow", "us"))</v>
      </c>
      <c r="I160" s="1" t="str">
        <f>CONCATENATE(Table1[[#This Row],[name]],":")</f>
        <v>flowRound38:</v>
      </c>
      <c r="J160" s="1" t="str">
        <f>CONCATENATE(".incbin """,Table1[[#This Row],[dir]],"/",Table1[[#This Row],[name]],".",Table1[[#This Row],[ext]],"""")</f>
        <v>.incbin "flow/flowRound38.bin"</v>
      </c>
    </row>
    <row r="161" spans="1:10" x14ac:dyDescent="0.25">
      <c r="A161" s="2" t="s">
        <v>643</v>
      </c>
      <c r="B161" s="2" t="s">
        <v>644</v>
      </c>
      <c r="C161" s="3" t="str">
        <f>DEC2HEX(HEX2DEC(Table1[[#This Row],[end]])-HEX2DEC(Table1[[#This Row],[start]]))</f>
        <v>40</v>
      </c>
      <c r="D161" s="1" t="s">
        <v>435</v>
      </c>
      <c r="E161" s="1" t="s">
        <v>121</v>
      </c>
      <c r="F161" s="1" t="s">
        <v>124</v>
      </c>
      <c r="G161" s="1" t="s">
        <v>395</v>
      </c>
      <c r="H16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bins.append(BinFile(0x00C9F8, 0x40, "flowRound39", "bin", "flow", "us"))</v>
      </c>
      <c r="I161" s="1" t="str">
        <f>CONCATENATE(Table1[[#This Row],[name]],":")</f>
        <v>flowRound39:</v>
      </c>
      <c r="J161" s="1" t="str">
        <f>CONCATENATE(".incbin """,Table1[[#This Row],[dir]],"/",Table1[[#This Row],[name]],".",Table1[[#This Row],[ext]],"""")</f>
        <v>.incbin "flow/flowRound39.bin"</v>
      </c>
    </row>
    <row r="162" spans="1:10" x14ac:dyDescent="0.25">
      <c r="A162" s="2" t="s">
        <v>644</v>
      </c>
      <c r="B162" s="2" t="s">
        <v>645</v>
      </c>
      <c r="C162" s="3" t="str">
        <f>DEC2HEX(HEX2DEC(Table1[[#This Row],[end]])-HEX2DEC(Table1[[#This Row],[start]]))</f>
        <v>40</v>
      </c>
      <c r="D162" s="1" t="s">
        <v>436</v>
      </c>
      <c r="E162" s="1" t="s">
        <v>121</v>
      </c>
      <c r="F162" s="1" t="s">
        <v>124</v>
      </c>
      <c r="G162" s="1" t="s">
        <v>395</v>
      </c>
      <c r="H16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bins.append(BinFile(0x00CA38, 0x40, "flowRound40", "bin", "flow", "us"))</v>
      </c>
      <c r="I162" s="1" t="str">
        <f>CONCATENATE(Table1[[#This Row],[name]],":")</f>
        <v>flowRound40:</v>
      </c>
      <c r="J162" s="1" t="str">
        <f>CONCATENATE(".incbin """,Table1[[#This Row],[dir]],"/",Table1[[#This Row],[name]],".",Table1[[#This Row],[ext]],"""")</f>
        <v>.incbin "flow/flowRound40.bin"</v>
      </c>
    </row>
    <row r="163" spans="1:10" x14ac:dyDescent="0.25">
      <c r="A163" s="2" t="s">
        <v>645</v>
      </c>
      <c r="B163" s="2" t="s">
        <v>646</v>
      </c>
      <c r="C163" s="3" t="str">
        <f>DEC2HEX(HEX2DEC(Table1[[#This Row],[end]])-HEX2DEC(Table1[[#This Row],[start]]))</f>
        <v>40</v>
      </c>
      <c r="D163" s="1" t="s">
        <v>437</v>
      </c>
      <c r="E163" s="1" t="s">
        <v>121</v>
      </c>
      <c r="F163" s="1" t="s">
        <v>124</v>
      </c>
      <c r="G163" s="1" t="s">
        <v>395</v>
      </c>
      <c r="H16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bins.append(BinFile(0x00CA78, 0x40, "flowRound41", "bin", "flow", "us"))</v>
      </c>
      <c r="I163" s="1" t="str">
        <f>CONCATENATE(Table1[[#This Row],[name]],":")</f>
        <v>flowRound41:</v>
      </c>
      <c r="J163" s="1" t="str">
        <f>CONCATENATE(".incbin """,Table1[[#This Row],[dir]],"/",Table1[[#This Row],[name]],".",Table1[[#This Row],[ext]],"""")</f>
        <v>.incbin "flow/flowRound41.bin"</v>
      </c>
    </row>
    <row r="164" spans="1:10" x14ac:dyDescent="0.25">
      <c r="A164" s="2" t="s">
        <v>646</v>
      </c>
      <c r="B164" s="2" t="s">
        <v>647</v>
      </c>
      <c r="C164" s="3" t="str">
        <f>DEC2HEX(HEX2DEC(Table1[[#This Row],[end]])-HEX2DEC(Table1[[#This Row],[start]]))</f>
        <v>40</v>
      </c>
      <c r="D164" s="1" t="s">
        <v>438</v>
      </c>
      <c r="E164" s="1" t="s">
        <v>121</v>
      </c>
      <c r="F164" s="1" t="s">
        <v>124</v>
      </c>
      <c r="G164" s="1" t="s">
        <v>395</v>
      </c>
      <c r="H16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bins.append(BinFile(0x00CAB8, 0x40, "flowRound42", "bin", "flow", "us"))</v>
      </c>
      <c r="I164" s="1" t="str">
        <f>CONCATENATE(Table1[[#This Row],[name]],":")</f>
        <v>flowRound42:</v>
      </c>
      <c r="J164" s="1" t="str">
        <f>CONCATENATE(".incbin """,Table1[[#This Row],[dir]],"/",Table1[[#This Row],[name]],".",Table1[[#This Row],[ext]],"""")</f>
        <v>.incbin "flow/flowRound42.bin"</v>
      </c>
    </row>
    <row r="165" spans="1:10" x14ac:dyDescent="0.25">
      <c r="A165" s="2" t="s">
        <v>647</v>
      </c>
      <c r="B165" s="2" t="s">
        <v>648</v>
      </c>
      <c r="C165" s="3" t="str">
        <f>DEC2HEX(HEX2DEC(Table1[[#This Row],[end]])-HEX2DEC(Table1[[#This Row],[start]]))</f>
        <v>40</v>
      </c>
      <c r="D165" s="1" t="s">
        <v>439</v>
      </c>
      <c r="E165" s="1" t="s">
        <v>121</v>
      </c>
      <c r="F165" s="1" t="s">
        <v>124</v>
      </c>
      <c r="G165" s="1" t="s">
        <v>395</v>
      </c>
      <c r="H16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bins.append(BinFile(0x00CAF8, 0x40, "flowRound43", "bin", "flow", "us"))</v>
      </c>
      <c r="I165" s="1" t="str">
        <f>CONCATENATE(Table1[[#This Row],[name]],":")</f>
        <v>flowRound43:</v>
      </c>
      <c r="J165" s="1" t="str">
        <f>CONCATENATE(".incbin """,Table1[[#This Row],[dir]],"/",Table1[[#This Row],[name]],".",Table1[[#This Row],[ext]],"""")</f>
        <v>.incbin "flow/flowRound43.bin"</v>
      </c>
    </row>
    <row r="166" spans="1:10" x14ac:dyDescent="0.25">
      <c r="A166" s="2" t="s">
        <v>648</v>
      </c>
      <c r="B166" s="2" t="s">
        <v>649</v>
      </c>
      <c r="C166" s="3" t="str">
        <f>DEC2HEX(HEX2DEC(Table1[[#This Row],[end]])-HEX2DEC(Table1[[#This Row],[start]]))</f>
        <v>40</v>
      </c>
      <c r="D166" s="1" t="s">
        <v>440</v>
      </c>
      <c r="E166" s="1" t="s">
        <v>121</v>
      </c>
      <c r="F166" s="1" t="s">
        <v>124</v>
      </c>
      <c r="G166" s="1" t="s">
        <v>395</v>
      </c>
      <c r="H16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bins.append(BinFile(0x00CB38, 0x40, "flowRound44", "bin", "flow", "us"))</v>
      </c>
      <c r="I166" s="1" t="str">
        <f>CONCATENATE(Table1[[#This Row],[name]],":")</f>
        <v>flowRound44:</v>
      </c>
      <c r="J166" s="1" t="str">
        <f>CONCATENATE(".incbin """,Table1[[#This Row],[dir]],"/",Table1[[#This Row],[name]],".",Table1[[#This Row],[ext]],"""")</f>
        <v>.incbin "flow/flowRound44.bin"</v>
      </c>
    </row>
    <row r="167" spans="1:10" x14ac:dyDescent="0.25">
      <c r="A167" s="2" t="s">
        <v>649</v>
      </c>
      <c r="B167" s="2" t="s">
        <v>650</v>
      </c>
      <c r="C167" s="3" t="str">
        <f>DEC2HEX(HEX2DEC(Table1[[#This Row],[end]])-HEX2DEC(Table1[[#This Row],[start]]))</f>
        <v>40</v>
      </c>
      <c r="D167" s="1" t="s">
        <v>441</v>
      </c>
      <c r="E167" s="1" t="s">
        <v>121</v>
      </c>
      <c r="F167" s="1" t="s">
        <v>124</v>
      </c>
      <c r="G167" s="1" t="s">
        <v>395</v>
      </c>
      <c r="H16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bins.append(BinFile(0x00CB78, 0x40, "flowRound45", "bin", "flow", "us"))</v>
      </c>
      <c r="I167" s="1" t="str">
        <f>CONCATENATE(Table1[[#This Row],[name]],":")</f>
        <v>flowRound45:</v>
      </c>
      <c r="J167" s="1" t="str">
        <f>CONCATENATE(".incbin """,Table1[[#This Row],[dir]],"/",Table1[[#This Row],[name]],".",Table1[[#This Row],[ext]],"""")</f>
        <v>.incbin "flow/flowRound45.bin"</v>
      </c>
    </row>
    <row r="168" spans="1:10" x14ac:dyDescent="0.25">
      <c r="A168" s="2" t="s">
        <v>650</v>
      </c>
      <c r="B168" s="2" t="s">
        <v>651</v>
      </c>
      <c r="C168" s="3" t="str">
        <f>DEC2HEX(HEX2DEC(Table1[[#This Row],[end]])-HEX2DEC(Table1[[#This Row],[start]]))</f>
        <v>40</v>
      </c>
      <c r="D168" s="1" t="s">
        <v>442</v>
      </c>
      <c r="E168" s="1" t="s">
        <v>121</v>
      </c>
      <c r="F168" s="1" t="s">
        <v>124</v>
      </c>
      <c r="G168" s="1" t="s">
        <v>395</v>
      </c>
      <c r="H16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bins.append(BinFile(0x00CBB8, 0x40, "flowRound46", "bin", "flow", "us"))</v>
      </c>
      <c r="I168" s="1" t="str">
        <f>CONCATENATE(Table1[[#This Row],[name]],":")</f>
        <v>flowRound46:</v>
      </c>
      <c r="J168" s="1" t="str">
        <f>CONCATENATE(".incbin """,Table1[[#This Row],[dir]],"/",Table1[[#This Row],[name]],".",Table1[[#This Row],[ext]],"""")</f>
        <v>.incbin "flow/flowRound46.bin"</v>
      </c>
    </row>
    <row r="169" spans="1:10" x14ac:dyDescent="0.25">
      <c r="A169" s="2" t="s">
        <v>651</v>
      </c>
      <c r="B169" s="2" t="s">
        <v>652</v>
      </c>
      <c r="C169" s="3" t="str">
        <f>DEC2HEX(HEX2DEC(Table1[[#This Row],[end]])-HEX2DEC(Table1[[#This Row],[start]]))</f>
        <v>40</v>
      </c>
      <c r="D169" s="1" t="s">
        <v>443</v>
      </c>
      <c r="E169" s="1" t="s">
        <v>121</v>
      </c>
      <c r="F169" s="1" t="s">
        <v>124</v>
      </c>
      <c r="G169" s="1" t="s">
        <v>395</v>
      </c>
      <c r="H16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bins.append(BinFile(0x00CBF8, 0x40, "flowRound47", "bin", "flow", "us"))</v>
      </c>
      <c r="I169" s="1" t="str">
        <f>CONCATENATE(Table1[[#This Row],[name]],":")</f>
        <v>flowRound47:</v>
      </c>
      <c r="J169" s="1" t="str">
        <f>CONCATENATE(".incbin """,Table1[[#This Row],[dir]],"/",Table1[[#This Row],[name]],".",Table1[[#This Row],[ext]],"""")</f>
        <v>.incbin "flow/flowRound47.bin"</v>
      </c>
    </row>
    <row r="170" spans="1:10" x14ac:dyDescent="0.25">
      <c r="A170" s="2" t="s">
        <v>653</v>
      </c>
      <c r="B170" s="2" t="s">
        <v>654</v>
      </c>
      <c r="C170" s="3" t="str">
        <f>DEC2HEX(HEX2DEC(Table1[[#This Row],[end]])-HEX2DEC(Table1[[#This Row],[start]]))</f>
        <v>40</v>
      </c>
      <c r="D170" s="1" t="s">
        <v>444</v>
      </c>
      <c r="E170" s="1" t="s">
        <v>121</v>
      </c>
      <c r="F170" s="1" t="s">
        <v>124</v>
      </c>
      <c r="G170" s="1" t="s">
        <v>395</v>
      </c>
      <c r="H17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bins.append(BinFile(0x00CEF8, 0x40, "flowRound48", "bin", "flow", "us"))</v>
      </c>
      <c r="I170" s="1" t="str">
        <f>CONCATENATE(Table1[[#This Row],[name]],":")</f>
        <v>flowRound48:</v>
      </c>
      <c r="J170" s="1" t="str">
        <f>CONCATENATE(".incbin """,Table1[[#This Row],[dir]],"/",Table1[[#This Row],[name]],".",Table1[[#This Row],[ext]],"""")</f>
        <v>.incbin "flow/flowRound48.bin"</v>
      </c>
    </row>
    <row r="171" spans="1:10" x14ac:dyDescent="0.25">
      <c r="A171" s="2" t="s">
        <v>652</v>
      </c>
      <c r="B171" s="2" t="s">
        <v>655</v>
      </c>
      <c r="C171" s="3" t="str">
        <f>DEC2HEX(HEX2DEC(Table1[[#This Row],[end]])-HEX2DEC(Table1[[#This Row],[start]]))</f>
        <v>40</v>
      </c>
      <c r="D171" s="1" t="s">
        <v>445</v>
      </c>
      <c r="E171" s="1" t="s">
        <v>121</v>
      </c>
      <c r="F171" s="1" t="s">
        <v>124</v>
      </c>
      <c r="G171" s="1" t="s">
        <v>395</v>
      </c>
      <c r="H17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bins.append(BinFile(0x00CC38, 0x40, "flowRound49", "bin", "flow", "us"))</v>
      </c>
      <c r="I171" s="1" t="str">
        <f>CONCATENATE(Table1[[#This Row],[name]],":")</f>
        <v>flowRound49:</v>
      </c>
      <c r="J171" s="1" t="str">
        <f>CONCATENATE(".incbin """,Table1[[#This Row],[dir]],"/",Table1[[#This Row],[name]],".",Table1[[#This Row],[ext]],"""")</f>
        <v>.incbin "flow/flowRound49.bin"</v>
      </c>
    </row>
    <row r="172" spans="1:10" x14ac:dyDescent="0.25">
      <c r="A172" s="2" t="s">
        <v>655</v>
      </c>
      <c r="B172" s="2" t="s">
        <v>656</v>
      </c>
      <c r="C172" s="3" t="str">
        <f>DEC2HEX(HEX2DEC(Table1[[#This Row],[end]])-HEX2DEC(Table1[[#This Row],[start]]))</f>
        <v>40</v>
      </c>
      <c r="D172" s="1" t="s">
        <v>446</v>
      </c>
      <c r="E172" s="1" t="s">
        <v>121</v>
      </c>
      <c r="F172" s="1" t="s">
        <v>124</v>
      </c>
      <c r="G172" s="1" t="s">
        <v>395</v>
      </c>
      <c r="H17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bins.append(BinFile(0x00CC78, 0x40, "flowRound50", "bin", "flow", "us"))</v>
      </c>
      <c r="I172" s="1" t="str">
        <f>CONCATENATE(Table1[[#This Row],[name]],":")</f>
        <v>flowRound50:</v>
      </c>
      <c r="J172" s="1" t="str">
        <f>CONCATENATE(".incbin """,Table1[[#This Row],[dir]],"/",Table1[[#This Row],[name]],".",Table1[[#This Row],[ext]],"""")</f>
        <v>.incbin "flow/flowRound50.bin"</v>
      </c>
    </row>
    <row r="173" spans="1:10" x14ac:dyDescent="0.25">
      <c r="A173" s="2" t="s">
        <v>656</v>
      </c>
      <c r="B173" s="2" t="s">
        <v>657</v>
      </c>
      <c r="C173" s="3" t="str">
        <f>DEC2HEX(HEX2DEC(Table1[[#This Row],[end]])-HEX2DEC(Table1[[#This Row],[start]]))</f>
        <v>40</v>
      </c>
      <c r="D173" s="1" t="s">
        <v>447</v>
      </c>
      <c r="E173" s="1" t="s">
        <v>121</v>
      </c>
      <c r="F173" s="1" t="s">
        <v>124</v>
      </c>
      <c r="G173" s="1" t="s">
        <v>395</v>
      </c>
      <c r="H17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bins.append(BinFile(0x00CCB8, 0x40, "flowRound51", "bin", "flow", "us"))</v>
      </c>
      <c r="I173" s="1" t="str">
        <f>CONCATENATE(Table1[[#This Row],[name]],":")</f>
        <v>flowRound51:</v>
      </c>
      <c r="J173" s="1" t="str">
        <f>CONCATENATE(".incbin """,Table1[[#This Row],[dir]],"/",Table1[[#This Row],[name]],".",Table1[[#This Row],[ext]],"""")</f>
        <v>.incbin "flow/flowRound51.bin"</v>
      </c>
    </row>
    <row r="174" spans="1:10" x14ac:dyDescent="0.25">
      <c r="A174" s="2" t="s">
        <v>657</v>
      </c>
      <c r="B174" s="2" t="s">
        <v>658</v>
      </c>
      <c r="C174" s="3" t="str">
        <f>DEC2HEX(HEX2DEC(Table1[[#This Row],[end]])-HEX2DEC(Table1[[#This Row],[start]]))</f>
        <v>40</v>
      </c>
      <c r="D174" s="1" t="s">
        <v>448</v>
      </c>
      <c r="E174" s="1" t="s">
        <v>121</v>
      </c>
      <c r="F174" s="1" t="s">
        <v>124</v>
      </c>
      <c r="G174" s="1" t="s">
        <v>395</v>
      </c>
      <c r="H17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bins.append(BinFile(0x00CCF8, 0x40, "flowRound52", "bin", "flow", "us"))</v>
      </c>
      <c r="I174" s="1" t="str">
        <f>CONCATENATE(Table1[[#This Row],[name]],":")</f>
        <v>flowRound52:</v>
      </c>
      <c r="J174" s="1" t="str">
        <f>CONCATENATE(".incbin """,Table1[[#This Row],[dir]],"/",Table1[[#This Row],[name]],".",Table1[[#This Row],[ext]],"""")</f>
        <v>.incbin "flow/flowRound52.bin"</v>
      </c>
    </row>
    <row r="175" spans="1:10" x14ac:dyDescent="0.25">
      <c r="A175" s="2" t="s">
        <v>658</v>
      </c>
      <c r="B175" s="2" t="s">
        <v>659</v>
      </c>
      <c r="C175" s="3" t="str">
        <f>DEC2HEX(HEX2DEC(Table1[[#This Row],[end]])-HEX2DEC(Table1[[#This Row],[start]]))</f>
        <v>40</v>
      </c>
      <c r="D175" s="1" t="s">
        <v>449</v>
      </c>
      <c r="E175" s="1" t="s">
        <v>121</v>
      </c>
      <c r="F175" s="1" t="s">
        <v>124</v>
      </c>
      <c r="G175" s="1" t="s">
        <v>395</v>
      </c>
      <c r="H17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bins.append(BinFile(0x00CD38, 0x40, "flowRound53", "bin", "flow", "us"))</v>
      </c>
      <c r="I175" s="1" t="str">
        <f>CONCATENATE(Table1[[#This Row],[name]],":")</f>
        <v>flowRound53:</v>
      </c>
      <c r="J175" s="1" t="str">
        <f>CONCATENATE(".incbin """,Table1[[#This Row],[dir]],"/",Table1[[#This Row],[name]],".",Table1[[#This Row],[ext]],"""")</f>
        <v>.incbin "flow/flowRound53.bin"</v>
      </c>
    </row>
    <row r="176" spans="1:10" x14ac:dyDescent="0.25">
      <c r="A176" s="2" t="s">
        <v>659</v>
      </c>
      <c r="B176" s="2" t="s">
        <v>660</v>
      </c>
      <c r="C176" s="3" t="str">
        <f>DEC2HEX(HEX2DEC(Table1[[#This Row],[end]])-HEX2DEC(Table1[[#This Row],[start]]))</f>
        <v>40</v>
      </c>
      <c r="D176" s="1" t="s">
        <v>450</v>
      </c>
      <c r="E176" s="1" t="s">
        <v>121</v>
      </c>
      <c r="F176" s="1" t="s">
        <v>124</v>
      </c>
      <c r="G176" s="1" t="s">
        <v>395</v>
      </c>
      <c r="H17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bins.append(BinFile(0x00CD78, 0x40, "flowRound54", "bin", "flow", "us"))</v>
      </c>
      <c r="I176" s="1" t="str">
        <f>CONCATENATE(Table1[[#This Row],[name]],":")</f>
        <v>flowRound54:</v>
      </c>
      <c r="J176" s="1" t="str">
        <f>CONCATENATE(".incbin """,Table1[[#This Row],[dir]],"/",Table1[[#This Row],[name]],".",Table1[[#This Row],[ext]],"""")</f>
        <v>.incbin "flow/flowRound54.bin"</v>
      </c>
    </row>
    <row r="177" spans="1:10" x14ac:dyDescent="0.25">
      <c r="A177" s="2" t="s">
        <v>660</v>
      </c>
      <c r="B177" s="2" t="s">
        <v>661</v>
      </c>
      <c r="C177" s="3" t="str">
        <f>DEC2HEX(HEX2DEC(Table1[[#This Row],[end]])-HEX2DEC(Table1[[#This Row],[start]]))</f>
        <v>40</v>
      </c>
      <c r="D177" s="1" t="s">
        <v>451</v>
      </c>
      <c r="E177" s="1" t="s">
        <v>121</v>
      </c>
      <c r="F177" s="1" t="s">
        <v>124</v>
      </c>
      <c r="G177" s="1" t="s">
        <v>395</v>
      </c>
      <c r="H17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bins.append(BinFile(0x00CDB8, 0x40, "flowRound55", "bin", "flow", "us"))</v>
      </c>
      <c r="I177" s="1" t="str">
        <f>CONCATENATE(Table1[[#This Row],[name]],":")</f>
        <v>flowRound55:</v>
      </c>
      <c r="J177" s="1" t="str">
        <f>CONCATENATE(".incbin """,Table1[[#This Row],[dir]],"/",Table1[[#This Row],[name]],".",Table1[[#This Row],[ext]],"""")</f>
        <v>.incbin "flow/flowRound55.bin"</v>
      </c>
    </row>
    <row r="178" spans="1:10" x14ac:dyDescent="0.25">
      <c r="A178" s="2" t="s">
        <v>661</v>
      </c>
      <c r="B178" s="2" t="s">
        <v>662</v>
      </c>
      <c r="C178" s="3" t="str">
        <f>DEC2HEX(HEX2DEC(Table1[[#This Row],[end]])-HEX2DEC(Table1[[#This Row],[start]]))</f>
        <v>40</v>
      </c>
      <c r="D178" s="1" t="s">
        <v>452</v>
      </c>
      <c r="E178" s="1" t="s">
        <v>121</v>
      </c>
      <c r="F178" s="1" t="s">
        <v>124</v>
      </c>
      <c r="G178" s="1" t="s">
        <v>395</v>
      </c>
      <c r="H17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bins.append(BinFile(0x00CDF8, 0x40, "flowRound56", "bin", "flow", "us"))</v>
      </c>
      <c r="I178" s="1" t="str">
        <f>CONCATENATE(Table1[[#This Row],[name]],":")</f>
        <v>flowRound56:</v>
      </c>
      <c r="J178" s="1" t="str">
        <f>CONCATENATE(".incbin """,Table1[[#This Row],[dir]],"/",Table1[[#This Row],[name]],".",Table1[[#This Row],[ext]],"""")</f>
        <v>.incbin "flow/flowRound56.bin"</v>
      </c>
    </row>
    <row r="179" spans="1:10" x14ac:dyDescent="0.25">
      <c r="A179" s="2" t="s">
        <v>662</v>
      </c>
      <c r="B179" s="2" t="s">
        <v>663</v>
      </c>
      <c r="C179" s="3" t="str">
        <f>DEC2HEX(HEX2DEC(Table1[[#This Row],[end]])-HEX2DEC(Table1[[#This Row],[start]]))</f>
        <v>40</v>
      </c>
      <c r="D179" s="1" t="s">
        <v>453</v>
      </c>
      <c r="E179" s="1" t="s">
        <v>121</v>
      </c>
      <c r="F179" s="1" t="s">
        <v>124</v>
      </c>
      <c r="G179" s="1" t="s">
        <v>395</v>
      </c>
      <c r="H17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bins.append(BinFile(0x00CE38, 0x40, "flowRound57", "bin", "flow", "us"))</v>
      </c>
      <c r="I179" s="1" t="str">
        <f>CONCATENATE(Table1[[#This Row],[name]],":")</f>
        <v>flowRound57:</v>
      </c>
      <c r="J179" s="1" t="str">
        <f>CONCATENATE(".incbin """,Table1[[#This Row],[dir]],"/",Table1[[#This Row],[name]],".",Table1[[#This Row],[ext]],"""")</f>
        <v>.incbin "flow/flowRound57.bin"</v>
      </c>
    </row>
    <row r="180" spans="1:10" x14ac:dyDescent="0.25">
      <c r="A180" s="2" t="s">
        <v>663</v>
      </c>
      <c r="B180" s="2" t="s">
        <v>664</v>
      </c>
      <c r="C180" s="3" t="str">
        <f>DEC2HEX(HEX2DEC(Table1[[#This Row],[end]])-HEX2DEC(Table1[[#This Row],[start]]))</f>
        <v>40</v>
      </c>
      <c r="D180" s="1" t="s">
        <v>454</v>
      </c>
      <c r="E180" s="1" t="s">
        <v>121</v>
      </c>
      <c r="F180" s="1" t="s">
        <v>124</v>
      </c>
      <c r="G180" s="1" t="s">
        <v>395</v>
      </c>
      <c r="H18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bins.append(BinFile(0x00CE78, 0x40, "flowRound58", "bin", "flow", "us"))</v>
      </c>
      <c r="I180" s="1" t="str">
        <f>CONCATENATE(Table1[[#This Row],[name]],":")</f>
        <v>flowRound58:</v>
      </c>
      <c r="J180" s="1" t="str">
        <f>CONCATENATE(".incbin """,Table1[[#This Row],[dir]],"/",Table1[[#This Row],[name]],".",Table1[[#This Row],[ext]],"""")</f>
        <v>.incbin "flow/flowRound58.bin"</v>
      </c>
    </row>
    <row r="181" spans="1:10" x14ac:dyDescent="0.25">
      <c r="A181" s="2" t="s">
        <v>664</v>
      </c>
      <c r="B181" s="2" t="s">
        <v>653</v>
      </c>
      <c r="C181" s="3" t="str">
        <f>DEC2HEX(HEX2DEC(Table1[[#This Row],[end]])-HEX2DEC(Table1[[#This Row],[start]]))</f>
        <v>40</v>
      </c>
      <c r="D181" s="1" t="s">
        <v>455</v>
      </c>
      <c r="E181" s="1" t="s">
        <v>121</v>
      </c>
      <c r="F181" s="1" t="s">
        <v>124</v>
      </c>
      <c r="G181" s="1" t="s">
        <v>395</v>
      </c>
      <c r="H18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bins.append(BinFile(0x00CEB8, 0x40, "flowRound59", "bin", "flow", "us"))</v>
      </c>
      <c r="I181" s="1" t="str">
        <f>CONCATENATE(Table1[[#This Row],[name]],":")</f>
        <v>flowRound59:</v>
      </c>
      <c r="J181" s="1" t="str">
        <f>CONCATENATE(".incbin """,Table1[[#This Row],[dir]],"/",Table1[[#This Row],[name]],".",Table1[[#This Row],[ext]],"""")</f>
        <v>.incbin "flow/flowRound59.bin"</v>
      </c>
    </row>
    <row r="182" spans="1:10" x14ac:dyDescent="0.25">
      <c r="A182" s="2" t="s">
        <v>654</v>
      </c>
      <c r="B182" s="2" t="s">
        <v>665</v>
      </c>
      <c r="C182" s="3" t="str">
        <f>DEC2HEX(HEX2DEC(Table1[[#This Row],[end]])-HEX2DEC(Table1[[#This Row],[start]]))</f>
        <v>40</v>
      </c>
      <c r="D182" s="1" t="s">
        <v>456</v>
      </c>
      <c r="E182" s="1" t="s">
        <v>121</v>
      </c>
      <c r="F182" s="1" t="s">
        <v>124</v>
      </c>
      <c r="G182" s="1" t="s">
        <v>395</v>
      </c>
      <c r="H18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bins.append(BinFile(0x00CF38, 0x40, "flowRound61", "bin", "flow", "us"))</v>
      </c>
      <c r="I182" s="1" t="str">
        <f>CONCATENATE(Table1[[#This Row],[name]],":")</f>
        <v>flowRound61:</v>
      </c>
      <c r="J182" s="1" t="str">
        <f>CONCATENATE(".incbin """,Table1[[#This Row],[dir]],"/",Table1[[#This Row],[name]],".",Table1[[#This Row],[ext]],"""")</f>
        <v>.incbin "flow/flowRound61.bin"</v>
      </c>
    </row>
    <row r="183" spans="1:10" x14ac:dyDescent="0.25">
      <c r="A183" s="2" t="s">
        <v>665</v>
      </c>
      <c r="B183" s="2" t="s">
        <v>666</v>
      </c>
      <c r="C183" s="3" t="str">
        <f>DEC2HEX(HEX2DEC(Table1[[#This Row],[end]])-HEX2DEC(Table1[[#This Row],[start]]))</f>
        <v>40</v>
      </c>
      <c r="D183" s="1" t="s">
        <v>457</v>
      </c>
      <c r="E183" s="1" t="s">
        <v>121</v>
      </c>
      <c r="F183" s="1" t="s">
        <v>124</v>
      </c>
      <c r="G183" s="1" t="s">
        <v>395</v>
      </c>
      <c r="H18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bins.append(BinFile(0x00CF78, 0x40, "flowRound62", "bin", "flow", "us"))</v>
      </c>
      <c r="I183" s="1" t="str">
        <f>CONCATENATE(Table1[[#This Row],[name]],":")</f>
        <v>flowRound62:</v>
      </c>
      <c r="J183" s="1" t="str">
        <f>CONCATENATE(".incbin """,Table1[[#This Row],[dir]],"/",Table1[[#This Row],[name]],".",Table1[[#This Row],[ext]],"""")</f>
        <v>.incbin "flow/flowRound62.bin"</v>
      </c>
    </row>
    <row r="184" spans="1:10" x14ac:dyDescent="0.25">
      <c r="A184" s="2" t="s">
        <v>666</v>
      </c>
      <c r="B184" s="2" t="s">
        <v>667</v>
      </c>
      <c r="C184" s="3" t="str">
        <f>DEC2HEX(HEX2DEC(Table1[[#This Row],[end]])-HEX2DEC(Table1[[#This Row],[start]]))</f>
        <v>40</v>
      </c>
      <c r="D184" s="1" t="s">
        <v>458</v>
      </c>
      <c r="E184" s="1" t="s">
        <v>121</v>
      </c>
      <c r="F184" s="1" t="s">
        <v>124</v>
      </c>
      <c r="G184" s="1" t="s">
        <v>395</v>
      </c>
      <c r="H18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bins.append(BinFile(0x00CFB8, 0x40, "flowRound63", "bin", "flow", "us"))</v>
      </c>
      <c r="I184" s="1" t="str">
        <f>CONCATENATE(Table1[[#This Row],[name]],":")</f>
        <v>flowRound63:</v>
      </c>
      <c r="J184" s="1" t="str">
        <f>CONCATENATE(".incbin """,Table1[[#This Row],[dir]],"/",Table1[[#This Row],[name]],".",Table1[[#This Row],[ext]],"""")</f>
        <v>.incbin "flow/flowRound63.bin"</v>
      </c>
    </row>
    <row r="185" spans="1:10" x14ac:dyDescent="0.25">
      <c r="A185" s="2" t="s">
        <v>667</v>
      </c>
      <c r="B185" s="2" t="s">
        <v>668</v>
      </c>
      <c r="C185" s="3" t="str">
        <f>DEC2HEX(HEX2DEC(Table1[[#This Row],[end]])-HEX2DEC(Table1[[#This Row],[start]]))</f>
        <v>40</v>
      </c>
      <c r="D185" s="1" t="s">
        <v>459</v>
      </c>
      <c r="E185" s="1" t="s">
        <v>121</v>
      </c>
      <c r="F185" s="1" t="s">
        <v>124</v>
      </c>
      <c r="G185" s="1" t="s">
        <v>395</v>
      </c>
      <c r="H18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bins.append(BinFile(0x00CFF8, 0x40, "flowRound64", "bin", "flow", "us"))</v>
      </c>
      <c r="I185" s="1" t="str">
        <f>CONCATENATE(Table1[[#This Row],[name]],":")</f>
        <v>flowRound64:</v>
      </c>
      <c r="J185" s="1" t="str">
        <f>CONCATENATE(".incbin """,Table1[[#This Row],[dir]],"/",Table1[[#This Row],[name]],".",Table1[[#This Row],[ext]],"""")</f>
        <v>.incbin "flow/flowRound64.bin"</v>
      </c>
    </row>
    <row r="186" spans="1:10" x14ac:dyDescent="0.25">
      <c r="A186" s="2" t="s">
        <v>668</v>
      </c>
      <c r="B186" s="2" t="s">
        <v>669</v>
      </c>
      <c r="C186" s="3" t="str">
        <f>DEC2HEX(HEX2DEC(Table1[[#This Row],[end]])-HEX2DEC(Table1[[#This Row],[start]]))</f>
        <v>40</v>
      </c>
      <c r="D186" s="1" t="s">
        <v>460</v>
      </c>
      <c r="E186" s="1" t="s">
        <v>121</v>
      </c>
      <c r="F186" s="1" t="s">
        <v>124</v>
      </c>
      <c r="G186" s="1" t="s">
        <v>395</v>
      </c>
      <c r="H18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bins.append(BinFile(0x00D038, 0x40, "flowRound65", "bin", "flow", "us"))</v>
      </c>
      <c r="I186" s="1" t="str">
        <f>CONCATENATE(Table1[[#This Row],[name]],":")</f>
        <v>flowRound65:</v>
      </c>
      <c r="J186" s="1" t="str">
        <f>CONCATENATE(".incbin """,Table1[[#This Row],[dir]],"/",Table1[[#This Row],[name]],".",Table1[[#This Row],[ext]],"""")</f>
        <v>.incbin "flow/flowRound65.bin"</v>
      </c>
    </row>
    <row r="187" spans="1:10" x14ac:dyDescent="0.25">
      <c r="A187" s="2" t="s">
        <v>669</v>
      </c>
      <c r="B187" s="2" t="s">
        <v>670</v>
      </c>
      <c r="C187" s="3" t="str">
        <f>DEC2HEX(HEX2DEC(Table1[[#This Row],[end]])-HEX2DEC(Table1[[#This Row],[start]]))</f>
        <v>40</v>
      </c>
      <c r="D187" s="1" t="s">
        <v>461</v>
      </c>
      <c r="E187" s="1" t="s">
        <v>121</v>
      </c>
      <c r="F187" s="1" t="s">
        <v>124</v>
      </c>
      <c r="G187" s="1" t="s">
        <v>395</v>
      </c>
      <c r="H18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bins.append(BinFile(0x00D078, 0x40, "flowRound66", "bin", "flow", "us"))</v>
      </c>
      <c r="I187" s="1" t="str">
        <f>CONCATENATE(Table1[[#This Row],[name]],":")</f>
        <v>flowRound66:</v>
      </c>
      <c r="J187" s="1" t="str">
        <f>CONCATENATE(".incbin """,Table1[[#This Row],[dir]],"/",Table1[[#This Row],[name]],".",Table1[[#This Row],[ext]],"""")</f>
        <v>.incbin "flow/flowRound66.bin"</v>
      </c>
    </row>
    <row r="188" spans="1:10" x14ac:dyDescent="0.25">
      <c r="A188" s="2" t="s">
        <v>670</v>
      </c>
      <c r="B188" s="2" t="s">
        <v>671</v>
      </c>
      <c r="C188" s="3" t="str">
        <f>DEC2HEX(HEX2DEC(Table1[[#This Row],[end]])-HEX2DEC(Table1[[#This Row],[start]]))</f>
        <v>40</v>
      </c>
      <c r="D188" s="1" t="s">
        <v>462</v>
      </c>
      <c r="E188" s="1" t="s">
        <v>121</v>
      </c>
      <c r="F188" s="1" t="s">
        <v>124</v>
      </c>
      <c r="G188" s="1" t="s">
        <v>395</v>
      </c>
      <c r="H18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bins.append(BinFile(0x00D0B8, 0x40, "flowRound67", "bin", "flow", "us"))</v>
      </c>
      <c r="I188" s="1" t="str">
        <f>CONCATENATE(Table1[[#This Row],[name]],":")</f>
        <v>flowRound67:</v>
      </c>
      <c r="J188" s="1" t="str">
        <f>CONCATENATE(".incbin """,Table1[[#This Row],[dir]],"/",Table1[[#This Row],[name]],".",Table1[[#This Row],[ext]],"""")</f>
        <v>.incbin "flow/flowRound67.bin"</v>
      </c>
    </row>
    <row r="189" spans="1:10" x14ac:dyDescent="0.25">
      <c r="A189" s="2" t="s">
        <v>671</v>
      </c>
      <c r="B189" s="2" t="s">
        <v>672</v>
      </c>
      <c r="C189" s="3" t="str">
        <f>DEC2HEX(HEX2DEC(Table1[[#This Row],[end]])-HEX2DEC(Table1[[#This Row],[start]]))</f>
        <v>40</v>
      </c>
      <c r="D189" s="1" t="s">
        <v>463</v>
      </c>
      <c r="E189" s="1" t="s">
        <v>121</v>
      </c>
      <c r="F189" s="1" t="s">
        <v>124</v>
      </c>
      <c r="G189" s="1" t="s">
        <v>395</v>
      </c>
      <c r="H18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bins.append(BinFile(0x00D0F8, 0x40, "flowRound68", "bin", "flow", "us"))</v>
      </c>
      <c r="I189" s="1" t="str">
        <f>CONCATENATE(Table1[[#This Row],[name]],":")</f>
        <v>flowRound68:</v>
      </c>
      <c r="J189" s="1" t="str">
        <f>CONCATENATE(".incbin """,Table1[[#This Row],[dir]],"/",Table1[[#This Row],[name]],".",Table1[[#This Row],[ext]],"""")</f>
        <v>.incbin "flow/flowRound68.bin"</v>
      </c>
    </row>
    <row r="190" spans="1:10" x14ac:dyDescent="0.25">
      <c r="A190" s="2" t="s">
        <v>672</v>
      </c>
      <c r="B190" s="2" t="s">
        <v>673</v>
      </c>
      <c r="C190" s="3" t="str">
        <f>DEC2HEX(HEX2DEC(Table1[[#This Row],[end]])-HEX2DEC(Table1[[#This Row],[start]]))</f>
        <v>40</v>
      </c>
      <c r="D190" s="1" t="s">
        <v>464</v>
      </c>
      <c r="E190" s="1" t="s">
        <v>121</v>
      </c>
      <c r="F190" s="1" t="s">
        <v>124</v>
      </c>
      <c r="G190" s="1" t="s">
        <v>395</v>
      </c>
      <c r="H19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bins.append(BinFile(0x00D138, 0x40, "flowRound69", "bin", "flow", "us"))</v>
      </c>
      <c r="I190" s="1" t="str">
        <f>CONCATENATE(Table1[[#This Row],[name]],":")</f>
        <v>flowRound69:</v>
      </c>
      <c r="J190" s="1" t="str">
        <f>CONCATENATE(".incbin """,Table1[[#This Row],[dir]],"/",Table1[[#This Row],[name]],".",Table1[[#This Row],[ext]],"""")</f>
        <v>.incbin "flow/flowRound69.bin"</v>
      </c>
    </row>
    <row r="191" spans="1:10" x14ac:dyDescent="0.25">
      <c r="A191" s="2" t="s">
        <v>673</v>
      </c>
      <c r="B191" s="2" t="s">
        <v>674</v>
      </c>
      <c r="C191" s="3" t="str">
        <f>DEC2HEX(HEX2DEC(Table1[[#This Row],[end]])-HEX2DEC(Table1[[#This Row],[start]]))</f>
        <v>40</v>
      </c>
      <c r="D191" s="1" t="s">
        <v>465</v>
      </c>
      <c r="E191" s="1" t="s">
        <v>121</v>
      </c>
      <c r="F191" s="1" t="s">
        <v>124</v>
      </c>
      <c r="G191" s="1" t="s">
        <v>395</v>
      </c>
      <c r="H19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bins.append(BinFile(0x00D178, 0x40, "flowRound70", "bin", "flow", "us"))</v>
      </c>
      <c r="I191" s="1" t="str">
        <f>CONCATENATE(Table1[[#This Row],[name]],":")</f>
        <v>flowRound70:</v>
      </c>
      <c r="J191" s="1" t="str">
        <f>CONCATENATE(".incbin """,Table1[[#This Row],[dir]],"/",Table1[[#This Row],[name]],".",Table1[[#This Row],[ext]],"""")</f>
        <v>.incbin "flow/flowRound70.bin"</v>
      </c>
    </row>
    <row r="192" spans="1:10" x14ac:dyDescent="0.25">
      <c r="A192" s="2" t="s">
        <v>674</v>
      </c>
      <c r="B192" s="2" t="s">
        <v>675</v>
      </c>
      <c r="C192" s="3" t="str">
        <f>DEC2HEX(HEX2DEC(Table1[[#This Row],[end]])-HEX2DEC(Table1[[#This Row],[start]]))</f>
        <v>40</v>
      </c>
      <c r="D192" s="1" t="s">
        <v>466</v>
      </c>
      <c r="E192" s="1" t="s">
        <v>121</v>
      </c>
      <c r="F192" s="1" t="s">
        <v>124</v>
      </c>
      <c r="G192" s="1" t="s">
        <v>395</v>
      </c>
      <c r="H19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bins.append(BinFile(0x00D1B8, 0x40, "flowRound71", "bin", "flow", "us"))</v>
      </c>
      <c r="I192" s="1" t="str">
        <f>CONCATENATE(Table1[[#This Row],[name]],":")</f>
        <v>flowRound71:</v>
      </c>
      <c r="J192" s="1" t="str">
        <f>CONCATENATE(".incbin """,Table1[[#This Row],[dir]],"/",Table1[[#This Row],[name]],".",Table1[[#This Row],[ext]],"""")</f>
        <v>.incbin "flow/flowRound71.bin"</v>
      </c>
    </row>
    <row r="193" spans="1:10" x14ac:dyDescent="0.25">
      <c r="A193" s="2" t="s">
        <v>675</v>
      </c>
      <c r="B193" s="2" t="s">
        <v>676</v>
      </c>
      <c r="C193" s="3" t="str">
        <f>DEC2HEX(HEX2DEC(Table1[[#This Row],[end]])-HEX2DEC(Table1[[#This Row],[start]]))</f>
        <v>40</v>
      </c>
      <c r="D193" s="1" t="s">
        <v>467</v>
      </c>
      <c r="E193" s="1" t="s">
        <v>121</v>
      </c>
      <c r="F193" s="1" t="s">
        <v>124</v>
      </c>
      <c r="G193" s="1" t="s">
        <v>395</v>
      </c>
      <c r="H19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bins.append(BinFile(0x00D1F8, 0x40, "flowRound72", "bin", "flow", "us"))</v>
      </c>
      <c r="I193" s="1" t="str">
        <f>CONCATENATE(Table1[[#This Row],[name]],":")</f>
        <v>flowRound72:</v>
      </c>
      <c r="J193" s="1" t="str">
        <f>CONCATENATE(".incbin """,Table1[[#This Row],[dir]],"/",Table1[[#This Row],[name]],".",Table1[[#This Row],[ext]],"""")</f>
        <v>.incbin "flow/flowRound72.bin"</v>
      </c>
    </row>
    <row r="194" spans="1:10" x14ac:dyDescent="0.25">
      <c r="A194" s="2" t="s">
        <v>676</v>
      </c>
      <c r="B194" s="2" t="s">
        <v>677</v>
      </c>
      <c r="C194" s="3" t="str">
        <f>DEC2HEX(HEX2DEC(Table1[[#This Row],[end]])-HEX2DEC(Table1[[#This Row],[start]]))</f>
        <v>40</v>
      </c>
      <c r="D194" s="1" t="s">
        <v>468</v>
      </c>
      <c r="E194" s="1" t="s">
        <v>121</v>
      </c>
      <c r="F194" s="1" t="s">
        <v>124</v>
      </c>
      <c r="G194" s="1" t="s">
        <v>395</v>
      </c>
      <c r="H19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bins.append(BinFile(0x00D238, 0x40, "flowRound73", "bin", "flow", "us"))</v>
      </c>
      <c r="I194" s="1" t="str">
        <f>CONCATENATE(Table1[[#This Row],[name]],":")</f>
        <v>flowRound73:</v>
      </c>
      <c r="J194" s="1" t="str">
        <f>CONCATENATE(".incbin """,Table1[[#This Row],[dir]],"/",Table1[[#This Row],[name]],".",Table1[[#This Row],[ext]],"""")</f>
        <v>.incbin "flow/flowRound73.bin"</v>
      </c>
    </row>
    <row r="195" spans="1:10" x14ac:dyDescent="0.25">
      <c r="A195" s="2" t="s">
        <v>677</v>
      </c>
      <c r="B195" s="2" t="s">
        <v>678</v>
      </c>
      <c r="C195" s="3" t="str">
        <f>DEC2HEX(HEX2DEC(Table1[[#This Row],[end]])-HEX2DEC(Table1[[#This Row],[start]]))</f>
        <v>40</v>
      </c>
      <c r="D195" s="1" t="s">
        <v>469</v>
      </c>
      <c r="E195" s="1" t="s">
        <v>121</v>
      </c>
      <c r="F195" s="1" t="s">
        <v>124</v>
      </c>
      <c r="G195" s="1" t="s">
        <v>395</v>
      </c>
      <c r="H19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bins.append(BinFile(0x00D278, 0x40, "flowRound74", "bin", "flow", "us"))</v>
      </c>
      <c r="I195" s="1" t="str">
        <f>CONCATENATE(Table1[[#This Row],[name]],":")</f>
        <v>flowRound74:</v>
      </c>
      <c r="J195" s="1" t="str">
        <f>CONCATENATE(".incbin """,Table1[[#This Row],[dir]],"/",Table1[[#This Row],[name]],".",Table1[[#This Row],[ext]],"""")</f>
        <v>.incbin "flow/flowRound74.bin"</v>
      </c>
    </row>
    <row r="196" spans="1:10" x14ac:dyDescent="0.25">
      <c r="A196" s="2" t="s">
        <v>678</v>
      </c>
      <c r="B196" s="2" t="s">
        <v>679</v>
      </c>
      <c r="C196" s="3" t="str">
        <f>DEC2HEX(HEX2DEC(Table1[[#This Row],[end]])-HEX2DEC(Table1[[#This Row],[start]]))</f>
        <v>40</v>
      </c>
      <c r="D196" s="1" t="s">
        <v>470</v>
      </c>
      <c r="E196" s="1" t="s">
        <v>121</v>
      </c>
      <c r="F196" s="1" t="s">
        <v>124</v>
      </c>
      <c r="G196" s="1" t="s">
        <v>395</v>
      </c>
      <c r="H19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bins.append(BinFile(0x00D2B8, 0x40, "flowRound75", "bin", "flow", "us"))</v>
      </c>
      <c r="I196" s="1" t="str">
        <f>CONCATENATE(Table1[[#This Row],[name]],":")</f>
        <v>flowRound75:</v>
      </c>
      <c r="J196" s="1" t="str">
        <f>CONCATENATE(".incbin """,Table1[[#This Row],[dir]],"/",Table1[[#This Row],[name]],".",Table1[[#This Row],[ext]],"""")</f>
        <v>.incbin "flow/flowRound75.bin"</v>
      </c>
    </row>
    <row r="197" spans="1:10" x14ac:dyDescent="0.25">
      <c r="A197" s="2" t="s">
        <v>679</v>
      </c>
      <c r="B197" s="2" t="s">
        <v>680</v>
      </c>
      <c r="C197" s="3" t="str">
        <f>DEC2HEX(HEX2DEC(Table1[[#This Row],[end]])-HEX2DEC(Table1[[#This Row],[start]]))</f>
        <v>40</v>
      </c>
      <c r="D197" s="1" t="s">
        <v>471</v>
      </c>
      <c r="E197" s="1" t="s">
        <v>121</v>
      </c>
      <c r="F197" s="1" t="s">
        <v>124</v>
      </c>
      <c r="G197" s="1" t="s">
        <v>395</v>
      </c>
      <c r="H19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bins.append(BinFile(0x00D2F8, 0x40, "flowRound76", "bin", "flow", "us"))</v>
      </c>
      <c r="I197" s="1" t="str">
        <f>CONCATENATE(Table1[[#This Row],[name]],":")</f>
        <v>flowRound76:</v>
      </c>
      <c r="J197" s="1" t="str">
        <f>CONCATENATE(".incbin """,Table1[[#This Row],[dir]],"/",Table1[[#This Row],[name]],".",Table1[[#This Row],[ext]],"""")</f>
        <v>.incbin "flow/flowRound76.bin"</v>
      </c>
    </row>
    <row r="198" spans="1:10" x14ac:dyDescent="0.25">
      <c r="A198" s="2" t="s">
        <v>680</v>
      </c>
      <c r="B198" s="2" t="s">
        <v>681</v>
      </c>
      <c r="C198" s="3" t="str">
        <f>DEC2HEX(HEX2DEC(Table1[[#This Row],[end]])-HEX2DEC(Table1[[#This Row],[start]]))</f>
        <v>40</v>
      </c>
      <c r="D198" s="1" t="s">
        <v>472</v>
      </c>
      <c r="E198" s="1" t="s">
        <v>121</v>
      </c>
      <c r="F198" s="1" t="s">
        <v>124</v>
      </c>
      <c r="G198" s="1" t="s">
        <v>395</v>
      </c>
      <c r="H19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bins.append(BinFile(0x00D338, 0x40, "flowRound77", "bin", "flow", "us"))</v>
      </c>
      <c r="I198" s="1" t="str">
        <f>CONCATENATE(Table1[[#This Row],[name]],":")</f>
        <v>flowRound77:</v>
      </c>
      <c r="J198" s="1" t="str">
        <f>CONCATENATE(".incbin """,Table1[[#This Row],[dir]],"/",Table1[[#This Row],[name]],".",Table1[[#This Row],[ext]],"""")</f>
        <v>.incbin "flow/flowRound77.bin"</v>
      </c>
    </row>
    <row r="199" spans="1:10" x14ac:dyDescent="0.25">
      <c r="A199" s="2" t="s">
        <v>681</v>
      </c>
      <c r="B199" s="2" t="s">
        <v>682</v>
      </c>
      <c r="C199" s="3" t="str">
        <f>DEC2HEX(HEX2DEC(Table1[[#This Row],[end]])-HEX2DEC(Table1[[#This Row],[start]]))</f>
        <v>40</v>
      </c>
      <c r="D199" s="1" t="s">
        <v>473</v>
      </c>
      <c r="E199" s="1" t="s">
        <v>121</v>
      </c>
      <c r="F199" s="1" t="s">
        <v>124</v>
      </c>
      <c r="G199" s="1" t="s">
        <v>395</v>
      </c>
      <c r="H19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bins.append(BinFile(0x00D378, 0x40, "flowRound78", "bin", "flow", "us"))</v>
      </c>
      <c r="I199" s="1" t="str">
        <f>CONCATENATE(Table1[[#This Row],[name]],":")</f>
        <v>flowRound78:</v>
      </c>
      <c r="J199" s="1" t="str">
        <f>CONCATENATE(".incbin """,Table1[[#This Row],[dir]],"/",Table1[[#This Row],[name]],".",Table1[[#This Row],[ext]],"""")</f>
        <v>.incbin "flow/flowRound78.bin"</v>
      </c>
    </row>
    <row r="200" spans="1:10" x14ac:dyDescent="0.25">
      <c r="A200" s="2" t="s">
        <v>682</v>
      </c>
      <c r="B200" s="2" t="s">
        <v>683</v>
      </c>
      <c r="C200" s="3" t="str">
        <f>DEC2HEX(HEX2DEC(Table1[[#This Row],[end]])-HEX2DEC(Table1[[#This Row],[start]]))</f>
        <v>40</v>
      </c>
      <c r="D200" s="1" t="s">
        <v>474</v>
      </c>
      <c r="E200" s="1" t="s">
        <v>121</v>
      </c>
      <c r="F200" s="1" t="s">
        <v>124</v>
      </c>
      <c r="G200" s="1" t="s">
        <v>395</v>
      </c>
      <c r="H20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bins.append(BinFile(0x00D3B8, 0x40, "flowRound79", "bin", "flow", "us"))</v>
      </c>
      <c r="I200" s="1" t="str">
        <f>CONCATENATE(Table1[[#This Row],[name]],":")</f>
        <v>flowRound79:</v>
      </c>
      <c r="J200" s="1" t="str">
        <f>CONCATENATE(".incbin """,Table1[[#This Row],[dir]],"/",Table1[[#This Row],[name]],".",Table1[[#This Row],[ext]],"""")</f>
        <v>.incbin "flow/flowRound79.bin"</v>
      </c>
    </row>
    <row r="201" spans="1:10" x14ac:dyDescent="0.25">
      <c r="A201" s="2" t="s">
        <v>556</v>
      </c>
      <c r="B201" s="2" t="s">
        <v>557</v>
      </c>
      <c r="C201" s="3" t="str">
        <f>DEC2HEX(HEX2DEC(Table1[[#This Row],[end]])-HEX2DEC(Table1[[#This Row],[start]]))</f>
        <v>100</v>
      </c>
      <c r="D201" s="1" t="s">
        <v>125</v>
      </c>
      <c r="E201" s="1" t="s">
        <v>121</v>
      </c>
      <c r="F201" s="1" t="s">
        <v>126</v>
      </c>
      <c r="G201" s="1" t="s">
        <v>394</v>
      </c>
      <c r="H20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bins.append(BinFile(0x004F6F, 0x100, "mapRound55_JP", "bin", "map", "jp"))</v>
      </c>
      <c r="I201" s="1" t="str">
        <f>CONCATENATE(Table1[[#This Row],[name]],":")</f>
        <v>mapRound55_JP:</v>
      </c>
      <c r="J201" s="1" t="str">
        <f>CONCATENATE(".incbin """,Table1[[#This Row],[dir]],"/",Table1[[#This Row],[name]],".",Table1[[#This Row],[ext]],"""")</f>
        <v>.incbin "map/mapRound55_JP.bin"</v>
      </c>
    </row>
    <row r="202" spans="1:10" x14ac:dyDescent="0.25">
      <c r="A202" s="2" t="s">
        <v>608</v>
      </c>
      <c r="B202" s="2" t="s">
        <v>609</v>
      </c>
      <c r="C202" s="3" t="str">
        <f>DEC2HEX(HEX2DEC(Table1[[#This Row],[end]])-HEX2DEC(Table1[[#This Row],[start]]))</f>
        <v>40</v>
      </c>
      <c r="D202" s="1" t="s">
        <v>475</v>
      </c>
      <c r="E202" s="1" t="s">
        <v>121</v>
      </c>
      <c r="F202" s="1" t="s">
        <v>126</v>
      </c>
      <c r="G202" s="1" t="s">
        <v>395</v>
      </c>
      <c r="H20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bins.append(BinFile(0x00C138, 0x40, "flowRound03_JP", "bin", "flow", "jp"))</v>
      </c>
      <c r="I202" s="1" t="str">
        <f>CONCATENATE(Table1[[#This Row],[name]],":")</f>
        <v>flowRound03_JP:</v>
      </c>
      <c r="J202" s="1" t="str">
        <f>CONCATENATE(".incbin """,Table1[[#This Row],[dir]],"/",Table1[[#This Row],[name]],".",Table1[[#This Row],[ext]],"""")</f>
        <v>.incbin "flow/flowRound03_JP.bin"</v>
      </c>
    </row>
    <row r="203" spans="1:10" x14ac:dyDescent="0.25">
      <c r="A203" s="2" t="s">
        <v>611</v>
      </c>
      <c r="B203" s="2" t="s">
        <v>612</v>
      </c>
      <c r="C203" s="3" t="str">
        <f>DEC2HEX(HEX2DEC(Table1[[#This Row],[end]])-HEX2DEC(Table1[[#This Row],[start]]))</f>
        <v>40</v>
      </c>
      <c r="D203" s="1" t="s">
        <v>476</v>
      </c>
      <c r="E203" s="1" t="s">
        <v>121</v>
      </c>
      <c r="F203" s="1" t="s">
        <v>126</v>
      </c>
      <c r="G203" s="1" t="s">
        <v>395</v>
      </c>
      <c r="H20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bins.append(BinFile(0x00C1F8, 0x40, "flowRound06_JP", "bin", "flow", "jp"))</v>
      </c>
      <c r="I203" s="1" t="str">
        <f>CONCATENATE(Table1[[#This Row],[name]],":")</f>
        <v>flowRound06_JP:</v>
      </c>
      <c r="J203" s="1" t="str">
        <f>CONCATENATE(".incbin """,Table1[[#This Row],[dir]],"/",Table1[[#This Row],[name]],".",Table1[[#This Row],[ext]],"""")</f>
        <v>.incbin "flow/flowRound06_JP.bin"</v>
      </c>
    </row>
    <row r="204" spans="1:10" x14ac:dyDescent="0.25">
      <c r="A204" s="2" t="s">
        <v>620</v>
      </c>
      <c r="B204" s="2" t="s">
        <v>621</v>
      </c>
      <c r="C204" s="3" t="str">
        <f>DEC2HEX(HEX2DEC(Table1[[#This Row],[end]])-HEX2DEC(Table1[[#This Row],[start]]))</f>
        <v>40</v>
      </c>
      <c r="D204" s="1" t="s">
        <v>477</v>
      </c>
      <c r="E204" s="1" t="s">
        <v>121</v>
      </c>
      <c r="F204" s="1" t="s">
        <v>126</v>
      </c>
      <c r="G204" s="1" t="s">
        <v>395</v>
      </c>
      <c r="H20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bins.append(BinFile(0x00C438, 0x40, "flowRound15_JP", "bin", "flow", "jp"))</v>
      </c>
      <c r="I204" s="1" t="str">
        <f>CONCATENATE(Table1[[#This Row],[name]],":")</f>
        <v>flowRound15_JP:</v>
      </c>
      <c r="J204" s="1" t="str">
        <f>CONCATENATE(".incbin """,Table1[[#This Row],[dir]],"/",Table1[[#This Row],[name]],".",Table1[[#This Row],[ext]],"""")</f>
        <v>.incbin "flow/flowRound15_JP.bin"</v>
      </c>
    </row>
    <row r="205" spans="1:10" x14ac:dyDescent="0.25">
      <c r="A205" s="2" t="s">
        <v>629</v>
      </c>
      <c r="B205" s="2" t="s">
        <v>630</v>
      </c>
      <c r="C205" s="3" t="str">
        <f>DEC2HEX(HEX2DEC(Table1[[#This Row],[end]])-HEX2DEC(Table1[[#This Row],[start]]))</f>
        <v>40</v>
      </c>
      <c r="D205" s="1" t="s">
        <v>478</v>
      </c>
      <c r="E205" s="1" t="s">
        <v>121</v>
      </c>
      <c r="F205" s="1" t="s">
        <v>126</v>
      </c>
      <c r="G205" s="1" t="s">
        <v>395</v>
      </c>
      <c r="H20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bins.append(BinFile(0x00C678, 0x40, "flowRound25_JP", "bin", "flow", "jp"))</v>
      </c>
      <c r="I205" s="1" t="str">
        <f>CONCATENATE(Table1[[#This Row],[name]],":")</f>
        <v>flowRound25_JP:</v>
      </c>
      <c r="J205" s="1" t="str">
        <f>CONCATENATE(".incbin """,Table1[[#This Row],[dir]],"/",Table1[[#This Row],[name]],".",Table1[[#This Row],[ext]],"""")</f>
        <v>.incbin "flow/flowRound25_JP.bin"</v>
      </c>
    </row>
    <row r="206" spans="1:10" x14ac:dyDescent="0.25">
      <c r="A206" s="2" t="s">
        <v>630</v>
      </c>
      <c r="B206" s="2" t="s">
        <v>631</v>
      </c>
      <c r="C206" s="3" t="str">
        <f>DEC2HEX(HEX2DEC(Table1[[#This Row],[end]])-HEX2DEC(Table1[[#This Row],[start]]))</f>
        <v>40</v>
      </c>
      <c r="D206" s="1" t="s">
        <v>479</v>
      </c>
      <c r="E206" s="1" t="s">
        <v>121</v>
      </c>
      <c r="F206" s="1" t="s">
        <v>126</v>
      </c>
      <c r="G206" s="1" t="s">
        <v>395</v>
      </c>
      <c r="H20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bins.append(BinFile(0x00C6B8, 0x40, "flowRound26_JP", "bin", "flow", "jp"))</v>
      </c>
      <c r="I206" s="1" t="str">
        <f>CONCATENATE(Table1[[#This Row],[name]],":")</f>
        <v>flowRound26_JP:</v>
      </c>
      <c r="J206" s="1" t="str">
        <f>CONCATENATE(".incbin """,Table1[[#This Row],[dir]],"/",Table1[[#This Row],[name]],".",Table1[[#This Row],[ext]],"""")</f>
        <v>.incbin "flow/flowRound26_JP.bin"</v>
      </c>
    </row>
    <row r="207" spans="1:10" x14ac:dyDescent="0.25">
      <c r="A207" s="2" t="s">
        <v>635</v>
      </c>
      <c r="B207" s="2" t="s">
        <v>636</v>
      </c>
      <c r="C207" s="3" t="str">
        <f>DEC2HEX(HEX2DEC(Table1[[#This Row],[end]])-HEX2DEC(Table1[[#This Row],[start]]))</f>
        <v>40</v>
      </c>
      <c r="D207" s="1" t="s">
        <v>480</v>
      </c>
      <c r="E207" s="1" t="s">
        <v>121</v>
      </c>
      <c r="F207" s="1" t="s">
        <v>126</v>
      </c>
      <c r="G207" s="1" t="s">
        <v>395</v>
      </c>
      <c r="H20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bins.append(BinFile(0x00C7F8, 0x40, "flowRound31_JP", "bin", "flow", "jp"))</v>
      </c>
      <c r="I207" s="1" t="str">
        <f>CONCATENATE(Table1[[#This Row],[name]],":")</f>
        <v>flowRound31_JP:</v>
      </c>
      <c r="J207" s="1" t="str">
        <f>CONCATENATE(".incbin """,Table1[[#This Row],[dir]],"/",Table1[[#This Row],[name]],".",Table1[[#This Row],[ext]],"""")</f>
        <v>.incbin "flow/flowRound31_JP.bin"</v>
      </c>
    </row>
    <row r="208" spans="1:10" x14ac:dyDescent="0.25">
      <c r="A208" s="2" t="s">
        <v>639</v>
      </c>
      <c r="B208" s="2" t="s">
        <v>640</v>
      </c>
      <c r="C208" s="3" t="str">
        <f>DEC2HEX(HEX2DEC(Table1[[#This Row],[end]])-HEX2DEC(Table1[[#This Row],[start]]))</f>
        <v>40</v>
      </c>
      <c r="D208" s="1" t="s">
        <v>481</v>
      </c>
      <c r="E208" s="1" t="s">
        <v>121</v>
      </c>
      <c r="F208" s="1" t="s">
        <v>126</v>
      </c>
      <c r="G208" s="1" t="s">
        <v>395</v>
      </c>
      <c r="H20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bins.append(BinFile(0x00C8F8, 0x40, "flowRound35_JP", "bin", "flow", "jp"))</v>
      </c>
      <c r="I208" s="1" t="str">
        <f>CONCATENATE(Table1[[#This Row],[name]],":")</f>
        <v>flowRound35_JP:</v>
      </c>
      <c r="J208" s="1" t="str">
        <f>CONCATENATE(".incbin """,Table1[[#This Row],[dir]],"/",Table1[[#This Row],[name]],".",Table1[[#This Row],[ext]],"""")</f>
        <v>.incbin "flow/flowRound35_JP.bin"</v>
      </c>
    </row>
    <row r="209" spans="1:10" x14ac:dyDescent="0.25">
      <c r="A209" s="2" t="s">
        <v>642</v>
      </c>
      <c r="B209" s="2" t="s">
        <v>643</v>
      </c>
      <c r="C209" s="3" t="str">
        <f>DEC2HEX(HEX2DEC(Table1[[#This Row],[end]])-HEX2DEC(Table1[[#This Row],[start]]))</f>
        <v>40</v>
      </c>
      <c r="D209" s="1" t="s">
        <v>482</v>
      </c>
      <c r="E209" s="1" t="s">
        <v>121</v>
      </c>
      <c r="F209" s="1" t="s">
        <v>126</v>
      </c>
      <c r="G209" s="1" t="s">
        <v>395</v>
      </c>
      <c r="H20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bins.append(BinFile(0x00C9B8, 0x40, "flowRound38_JP", "bin", "flow", "jp"))</v>
      </c>
      <c r="I209" s="1" t="str">
        <f>CONCATENATE(Table1[[#This Row],[name]],":")</f>
        <v>flowRound38_JP:</v>
      </c>
      <c r="J209" s="1" t="str">
        <f>CONCATENATE(".incbin """,Table1[[#This Row],[dir]],"/",Table1[[#This Row],[name]],".",Table1[[#This Row],[ext]],"""")</f>
        <v>.incbin "flow/flowRound38_JP.bin"</v>
      </c>
    </row>
    <row r="210" spans="1:10" x14ac:dyDescent="0.25">
      <c r="A210" s="2" t="s">
        <v>675</v>
      </c>
      <c r="B210" s="2" t="s">
        <v>676</v>
      </c>
      <c r="C210" s="3" t="str">
        <f>DEC2HEX(HEX2DEC(Table1[[#This Row],[end]])-HEX2DEC(Table1[[#This Row],[start]]))</f>
        <v>40</v>
      </c>
      <c r="D210" s="1" t="s">
        <v>483</v>
      </c>
      <c r="E210" s="1" t="s">
        <v>121</v>
      </c>
      <c r="F210" s="1" t="s">
        <v>126</v>
      </c>
      <c r="G210" s="1" t="s">
        <v>395</v>
      </c>
      <c r="H21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bins.append(BinFile(0x00D1F8, 0x40, "flowRound72_JP", "bin", "flow", "jp"))</v>
      </c>
      <c r="I210" s="1" t="str">
        <f>CONCATENATE(Table1[[#This Row],[name]],":")</f>
        <v>flowRound72_JP:</v>
      </c>
      <c r="J210" s="1" t="str">
        <f>CONCATENATE(".incbin """,Table1[[#This Row],[dir]],"/",Table1[[#This Row],[name]],".",Table1[[#This Row],[ext]],"""")</f>
        <v>.incbin "flow/flowRound72_JP.bin"</v>
      </c>
    </row>
    <row r="211" spans="1:10" x14ac:dyDescent="0.25">
      <c r="A211" s="1" t="s">
        <v>127</v>
      </c>
      <c r="B211" s="2"/>
      <c r="C211" s="2" t="s">
        <v>256</v>
      </c>
      <c r="D211" s="1" t="s">
        <v>258</v>
      </c>
      <c r="E211" s="1" t="s">
        <v>257</v>
      </c>
      <c r="F211" s="1" t="s">
        <v>124</v>
      </c>
      <c r="G211" s="1" t="s">
        <v>257</v>
      </c>
      <c r="H21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bins.append(BinFile(0x20010, 0x400, "chrOldTitle_A", "chr", "chr", "us"))</v>
      </c>
      <c r="I211" s="1" t="str">
        <f>CONCATENATE(Table1[[#This Row],[name]],":")</f>
        <v>chrOldTitle_A:</v>
      </c>
      <c r="J211" s="1" t="str">
        <f>CONCATENATE(".incbin """,Table1[[#This Row],[dir]],"/",Table1[[#This Row],[name]],".",Table1[[#This Row],[ext]],"""")</f>
        <v>.incbin "chr/chrOldTitle_A.chr"</v>
      </c>
    </row>
    <row r="212" spans="1:10" x14ac:dyDescent="0.25">
      <c r="A212" s="1" t="s">
        <v>128</v>
      </c>
      <c r="B212" s="2"/>
      <c r="C212" s="2" t="s">
        <v>256</v>
      </c>
      <c r="D212" s="1" t="s">
        <v>259</v>
      </c>
      <c r="E212" s="1" t="s">
        <v>257</v>
      </c>
      <c r="F212" s="1" t="s">
        <v>124</v>
      </c>
      <c r="G212" s="1" t="s">
        <v>257</v>
      </c>
      <c r="H21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bins.append(BinFile(0x20410, 0x400, "chrOldTitle_B", "chr", "chr", "us"))</v>
      </c>
      <c r="I212" s="1" t="str">
        <f>CONCATENATE(Table1[[#This Row],[name]],":")</f>
        <v>chrOldTitle_B:</v>
      </c>
      <c r="J212" s="1" t="str">
        <f>CONCATENATE(".incbin """,Table1[[#This Row],[dir]],"/",Table1[[#This Row],[name]],".",Table1[[#This Row],[ext]],"""")</f>
        <v>.incbin "chr/chrOldTitle_B.chr"</v>
      </c>
    </row>
    <row r="213" spans="1:10" x14ac:dyDescent="0.25">
      <c r="A213" s="1" t="s">
        <v>129</v>
      </c>
      <c r="B213" s="2"/>
      <c r="C213" s="2" t="s">
        <v>256</v>
      </c>
      <c r="D213" s="1" t="s">
        <v>260</v>
      </c>
      <c r="E213" s="1" t="s">
        <v>257</v>
      </c>
      <c r="F213" s="1" t="s">
        <v>124</v>
      </c>
      <c r="G213" s="1" t="s">
        <v>257</v>
      </c>
      <c r="H21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bins.append(BinFile(0x20810, 0x400, "chrOldTitle_C", "chr", "chr", "us"))</v>
      </c>
      <c r="I213" s="1" t="str">
        <f>CONCATENATE(Table1[[#This Row],[name]],":")</f>
        <v>chrOldTitle_C:</v>
      </c>
      <c r="J213" s="1" t="str">
        <f>CONCATENATE(".incbin """,Table1[[#This Row],[dir]],"/",Table1[[#This Row],[name]],".",Table1[[#This Row],[ext]],"""")</f>
        <v>.incbin "chr/chrOldTitle_C.chr"</v>
      </c>
    </row>
    <row r="214" spans="1:10" x14ac:dyDescent="0.25">
      <c r="A214" s="1" t="s">
        <v>130</v>
      </c>
      <c r="B214" s="2"/>
      <c r="C214" s="2" t="s">
        <v>256</v>
      </c>
      <c r="D214" s="1" t="s">
        <v>261</v>
      </c>
      <c r="E214" s="1" t="s">
        <v>257</v>
      </c>
      <c r="F214" s="1" t="s">
        <v>124</v>
      </c>
      <c r="G214" s="1" t="s">
        <v>257</v>
      </c>
      <c r="H21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bins.append(BinFile(0x20C10, 0x400, "chrOldTitle_D", "chr", "chr", "us"))</v>
      </c>
      <c r="I214" s="1" t="str">
        <f>CONCATENATE(Table1[[#This Row],[name]],":")</f>
        <v>chrOldTitle_D:</v>
      </c>
      <c r="J214" s="1" t="str">
        <f>CONCATENATE(".incbin """,Table1[[#This Row],[dir]],"/",Table1[[#This Row],[name]],".",Table1[[#This Row],[ext]],"""")</f>
        <v>.incbin "chr/chrOldTitle_D.chr"</v>
      </c>
    </row>
    <row r="215" spans="1:10" x14ac:dyDescent="0.25">
      <c r="A215" s="1" t="s">
        <v>131</v>
      </c>
      <c r="B215" s="2"/>
      <c r="C215" s="2" t="s">
        <v>256</v>
      </c>
      <c r="D215" s="1" t="s">
        <v>262</v>
      </c>
      <c r="E215" s="1" t="s">
        <v>257</v>
      </c>
      <c r="F215" s="1" t="s">
        <v>124</v>
      </c>
      <c r="G215" s="1" t="s">
        <v>257</v>
      </c>
      <c r="H21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bins.append(BinFile(0x21010, 0x400, "chrTaito_A", "chr", "chr", "us"))</v>
      </c>
      <c r="I215" s="1" t="str">
        <f>CONCATENATE(Table1[[#This Row],[name]],":")</f>
        <v>chrTaito_A:</v>
      </c>
      <c r="J215" s="1" t="str">
        <f>CONCATENATE(".incbin """,Table1[[#This Row],[dir]],"/",Table1[[#This Row],[name]],".",Table1[[#This Row],[ext]],"""")</f>
        <v>.incbin "chr/chrTaito_A.chr"</v>
      </c>
    </row>
    <row r="216" spans="1:10" x14ac:dyDescent="0.25">
      <c r="A216" s="1" t="s">
        <v>132</v>
      </c>
      <c r="B216" s="2"/>
      <c r="C216" s="2" t="s">
        <v>256</v>
      </c>
      <c r="D216" s="1" t="s">
        <v>263</v>
      </c>
      <c r="E216" s="1" t="s">
        <v>257</v>
      </c>
      <c r="F216" s="1" t="s">
        <v>124</v>
      </c>
      <c r="G216" s="1" t="s">
        <v>257</v>
      </c>
      <c r="H21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bins.append(BinFile(0x21410, 0x400, "chrTaito_B", "chr", "chr", "us"))</v>
      </c>
      <c r="I216" s="1" t="str">
        <f>CONCATENATE(Table1[[#This Row],[name]],":")</f>
        <v>chrTaito_B:</v>
      </c>
      <c r="J216" s="1" t="str">
        <f>CONCATENATE(".incbin """,Table1[[#This Row],[dir]],"/",Table1[[#This Row],[name]],".",Table1[[#This Row],[ext]],"""")</f>
        <v>.incbin "chr/chrTaito_B.chr"</v>
      </c>
    </row>
    <row r="217" spans="1:10" x14ac:dyDescent="0.25">
      <c r="A217" s="1" t="s">
        <v>133</v>
      </c>
      <c r="B217" s="2"/>
      <c r="C217" s="2" t="s">
        <v>256</v>
      </c>
      <c r="D217" s="1" t="s">
        <v>264</v>
      </c>
      <c r="E217" s="1" t="s">
        <v>257</v>
      </c>
      <c r="F217" s="1" t="s">
        <v>124</v>
      </c>
      <c r="G217" s="1" t="s">
        <v>257</v>
      </c>
      <c r="H21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bins.append(BinFile(0x21810, 0x400, "chrIntroStage_A", "chr", "chr", "us"))</v>
      </c>
      <c r="I217" s="1" t="str">
        <f>CONCATENATE(Table1[[#This Row],[name]],":")</f>
        <v>chrIntroStage_A:</v>
      </c>
      <c r="J217" s="1" t="str">
        <f>CONCATENATE(".incbin """,Table1[[#This Row],[dir]],"/",Table1[[#This Row],[name]],".",Table1[[#This Row],[ext]],"""")</f>
        <v>.incbin "chr/chrIntroStage_A.chr"</v>
      </c>
    </row>
    <row r="218" spans="1:10" x14ac:dyDescent="0.25">
      <c r="A218" s="1" t="s">
        <v>134</v>
      </c>
      <c r="B218" s="2"/>
      <c r="C218" s="2" t="s">
        <v>256</v>
      </c>
      <c r="D218" s="1" t="s">
        <v>265</v>
      </c>
      <c r="E218" s="1" t="s">
        <v>257</v>
      </c>
      <c r="F218" s="1" t="s">
        <v>124</v>
      </c>
      <c r="G218" s="1" t="s">
        <v>257</v>
      </c>
      <c r="H21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bins.append(BinFile(0x21C10, 0x400, "chrIntroStage_B", "chr", "chr", "us"))</v>
      </c>
      <c r="I218" s="1" t="str">
        <f>CONCATENATE(Table1[[#This Row],[name]],":")</f>
        <v>chrIntroStage_B:</v>
      </c>
      <c r="J218" s="1" t="str">
        <f>CONCATENATE(".incbin """,Table1[[#This Row],[dir]],"/",Table1[[#This Row],[name]],".",Table1[[#This Row],[ext]],"""")</f>
        <v>.incbin "chr/chrIntroStage_B.chr"</v>
      </c>
    </row>
    <row r="219" spans="1:10" x14ac:dyDescent="0.25">
      <c r="A219" s="1" t="s">
        <v>135</v>
      </c>
      <c r="B219" s="2"/>
      <c r="C219" s="2" t="s">
        <v>256</v>
      </c>
      <c r="D219" s="1" t="s">
        <v>266</v>
      </c>
      <c r="E219" s="1" t="s">
        <v>257</v>
      </c>
      <c r="F219" s="1" t="s">
        <v>124</v>
      </c>
      <c r="G219" s="1" t="s">
        <v>257</v>
      </c>
      <c r="H21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bins.append(BinFile(0x22010, 0x400, "chrIntroSkull_A", "chr", "chr", "us"))</v>
      </c>
      <c r="I219" s="1" t="str">
        <f>CONCATENATE(Table1[[#This Row],[name]],":")</f>
        <v>chrIntroSkull_A:</v>
      </c>
      <c r="J219" s="1" t="str">
        <f>CONCATENATE(".incbin """,Table1[[#This Row],[dir]],"/",Table1[[#This Row],[name]],".",Table1[[#This Row],[ext]],"""")</f>
        <v>.incbin "chr/chrIntroSkull_A.chr"</v>
      </c>
    </row>
    <row r="220" spans="1:10" x14ac:dyDescent="0.25">
      <c r="A220" s="1" t="s">
        <v>136</v>
      </c>
      <c r="B220" s="2"/>
      <c r="C220" s="2" t="s">
        <v>256</v>
      </c>
      <c r="D220" s="1" t="s">
        <v>267</v>
      </c>
      <c r="E220" s="1" t="s">
        <v>257</v>
      </c>
      <c r="F220" s="1" t="s">
        <v>124</v>
      </c>
      <c r="G220" s="1" t="s">
        <v>257</v>
      </c>
      <c r="H22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bins.append(BinFile(0x22410, 0x400, "chrIntroSkull_B", "chr", "chr", "us"))</v>
      </c>
      <c r="I220" s="1" t="str">
        <f>CONCATENATE(Table1[[#This Row],[name]],":")</f>
        <v>chrIntroSkull_B:</v>
      </c>
      <c r="J220" s="1" t="str">
        <f>CONCATENATE(".incbin """,Table1[[#This Row],[dir]],"/",Table1[[#This Row],[name]],".",Table1[[#This Row],[ext]],"""")</f>
        <v>.incbin "chr/chrIntroSkull_B.chr"</v>
      </c>
    </row>
    <row r="221" spans="1:10" x14ac:dyDescent="0.25">
      <c r="A221" s="1" t="s">
        <v>137</v>
      </c>
      <c r="B221" s="2"/>
      <c r="C221" s="2" t="s">
        <v>256</v>
      </c>
      <c r="D221" s="1" t="s">
        <v>268</v>
      </c>
      <c r="E221" s="1" t="s">
        <v>257</v>
      </c>
      <c r="F221" s="1" t="s">
        <v>124</v>
      </c>
      <c r="G221" s="1" t="s">
        <v>257</v>
      </c>
      <c r="H22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bins.append(BinFile(0x22810, 0x400, "chrIntroTree_A", "chr", "chr", "us"))</v>
      </c>
      <c r="I221" s="1" t="str">
        <f>CONCATENATE(Table1[[#This Row],[name]],":")</f>
        <v>chrIntroTree_A:</v>
      </c>
      <c r="J221" s="1" t="str">
        <f>CONCATENATE(".incbin """,Table1[[#This Row],[dir]],"/",Table1[[#This Row],[name]],".",Table1[[#This Row],[ext]],"""")</f>
        <v>.incbin "chr/chrIntroTree_A.chr"</v>
      </c>
    </row>
    <row r="222" spans="1:10" x14ac:dyDescent="0.25">
      <c r="A222" s="1" t="s">
        <v>138</v>
      </c>
      <c r="B222" s="2"/>
      <c r="C222" s="2" t="s">
        <v>256</v>
      </c>
      <c r="D222" s="1" t="s">
        <v>269</v>
      </c>
      <c r="E222" s="1" t="s">
        <v>257</v>
      </c>
      <c r="F222" s="1" t="s">
        <v>124</v>
      </c>
      <c r="G222" s="1" t="s">
        <v>257</v>
      </c>
      <c r="H22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bins.append(BinFile(0x22C10, 0x400, "chrIntroTree_B", "chr", "chr", "us"))</v>
      </c>
      <c r="I222" s="1" t="str">
        <f>CONCATENATE(Table1[[#This Row],[name]],":")</f>
        <v>chrIntroTree_B:</v>
      </c>
      <c r="J222" s="1" t="str">
        <f>CONCATENATE(".incbin """,Table1[[#This Row],[dir]],"/",Table1[[#This Row],[name]],".",Table1[[#This Row],[ext]],"""")</f>
        <v>.incbin "chr/chrIntroTree_B.chr"</v>
      </c>
    </row>
    <row r="223" spans="1:10" x14ac:dyDescent="0.25">
      <c r="A223" s="1" t="s">
        <v>139</v>
      </c>
      <c r="B223" s="2"/>
      <c r="C223" s="2" t="s">
        <v>256</v>
      </c>
      <c r="D223" s="1" t="s">
        <v>270</v>
      </c>
      <c r="E223" s="1" t="s">
        <v>257</v>
      </c>
      <c r="F223" s="1" t="s">
        <v>124</v>
      </c>
      <c r="G223" s="1" t="s">
        <v>257</v>
      </c>
      <c r="H22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bins.append(BinFile(0x23010, 0x400, "chrIntroActors_A", "chr", "chr", "us"))</v>
      </c>
      <c r="I223" s="1" t="str">
        <f>CONCATENATE(Table1[[#This Row],[name]],":")</f>
        <v>chrIntroActors_A:</v>
      </c>
      <c r="J223" s="1" t="str">
        <f>CONCATENATE(".incbin """,Table1[[#This Row],[dir]],"/",Table1[[#This Row],[name]],".",Table1[[#This Row],[ext]],"""")</f>
        <v>.incbin "chr/chrIntroActors_A.chr"</v>
      </c>
    </row>
    <row r="224" spans="1:10" x14ac:dyDescent="0.25">
      <c r="A224" s="1" t="s">
        <v>140</v>
      </c>
      <c r="B224" s="2"/>
      <c r="C224" s="2" t="s">
        <v>256</v>
      </c>
      <c r="D224" s="1" t="s">
        <v>271</v>
      </c>
      <c r="E224" s="1" t="s">
        <v>257</v>
      </c>
      <c r="F224" s="1" t="s">
        <v>124</v>
      </c>
      <c r="G224" s="1" t="s">
        <v>257</v>
      </c>
      <c r="H22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bins.append(BinFile(0x23410, 0x400, "chrIntroActors_B", "chr", "chr", "us"))</v>
      </c>
      <c r="I224" s="1" t="str">
        <f>CONCATENATE(Table1[[#This Row],[name]],":")</f>
        <v>chrIntroActors_B:</v>
      </c>
      <c r="J224" s="1" t="str">
        <f>CONCATENATE(".incbin """,Table1[[#This Row],[dir]],"/",Table1[[#This Row],[name]],".",Table1[[#This Row],[ext]],"""")</f>
        <v>.incbin "chr/chrIntroActors_B.chr"</v>
      </c>
    </row>
    <row r="225" spans="1:10" x14ac:dyDescent="0.25">
      <c r="A225" s="1" t="s">
        <v>141</v>
      </c>
      <c r="B225" s="2"/>
      <c r="C225" s="2" t="s">
        <v>256</v>
      </c>
      <c r="D225" s="1" t="s">
        <v>272</v>
      </c>
      <c r="E225" s="1" t="s">
        <v>257</v>
      </c>
      <c r="F225" s="1" t="s">
        <v>124</v>
      </c>
      <c r="G225" s="1" t="s">
        <v>257</v>
      </c>
      <c r="H22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bins.append(BinFile(0x23810, 0x400, "chrSmallFont_A", "chr", "chr", "us"))</v>
      </c>
      <c r="I225" s="1" t="str">
        <f>CONCATENATE(Table1[[#This Row],[name]],":")</f>
        <v>chrSmallFont_A:</v>
      </c>
      <c r="J225" s="1" t="str">
        <f>CONCATENATE(".incbin """,Table1[[#This Row],[dir]],"/",Table1[[#This Row],[name]],".",Table1[[#This Row],[ext]],"""")</f>
        <v>.incbin "chr/chrSmallFont_A.chr"</v>
      </c>
    </row>
    <row r="226" spans="1:10" x14ac:dyDescent="0.25">
      <c r="A226" s="1" t="s">
        <v>142</v>
      </c>
      <c r="B226" s="2"/>
      <c r="C226" s="2" t="s">
        <v>256</v>
      </c>
      <c r="D226" s="1" t="s">
        <v>273</v>
      </c>
      <c r="E226" s="1" t="s">
        <v>257</v>
      </c>
      <c r="F226" s="1" t="s">
        <v>124</v>
      </c>
      <c r="G226" s="1" t="s">
        <v>257</v>
      </c>
      <c r="H22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bins.append(BinFile(0x23C10, 0x400, "chrSmallFont_B", "chr", "chr", "us"))</v>
      </c>
      <c r="I226" s="1" t="str">
        <f>CONCATENATE(Table1[[#This Row],[name]],":")</f>
        <v>chrSmallFont_B:</v>
      </c>
      <c r="J226" s="1" t="str">
        <f>CONCATENATE(".incbin """,Table1[[#This Row],[dir]],"/",Table1[[#This Row],[name]],".",Table1[[#This Row],[ext]],"""")</f>
        <v>.incbin "chr/chrSmallFont_B.chr"</v>
      </c>
    </row>
    <row r="227" spans="1:10" x14ac:dyDescent="0.25">
      <c r="A227" s="1" t="s">
        <v>143</v>
      </c>
      <c r="B227" s="2"/>
      <c r="C227" s="2" t="s">
        <v>256</v>
      </c>
      <c r="D227" s="1" t="s">
        <v>274</v>
      </c>
      <c r="E227" s="1" t="s">
        <v>257</v>
      </c>
      <c r="F227" s="1" t="s">
        <v>124</v>
      </c>
      <c r="G227" s="1" t="s">
        <v>257</v>
      </c>
      <c r="H22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bins.append(BinFile(0x24010, 0x400, "chrTallFont_A", "chr", "chr", "us"))</v>
      </c>
      <c r="I227" s="1" t="str">
        <f>CONCATENATE(Table1[[#This Row],[name]],":")</f>
        <v>chrTallFont_A:</v>
      </c>
      <c r="J227" s="1" t="str">
        <f>CONCATENATE(".incbin """,Table1[[#This Row],[dir]],"/",Table1[[#This Row],[name]],".",Table1[[#This Row],[ext]],"""")</f>
        <v>.incbin "chr/chrTallFont_A.chr"</v>
      </c>
    </row>
    <row r="228" spans="1:10" x14ac:dyDescent="0.25">
      <c r="A228" s="1" t="s">
        <v>144</v>
      </c>
      <c r="B228" s="2"/>
      <c r="C228" s="2" t="s">
        <v>256</v>
      </c>
      <c r="D228" s="1" t="s">
        <v>275</v>
      </c>
      <c r="E228" s="1" t="s">
        <v>257</v>
      </c>
      <c r="F228" s="1" t="s">
        <v>124</v>
      </c>
      <c r="G228" s="1" t="s">
        <v>257</v>
      </c>
      <c r="H22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bins.append(BinFile(0x24410, 0x400, "chrTallFont_B", "chr", "chr", "us"))</v>
      </c>
      <c r="I228" s="1" t="str">
        <f>CONCATENATE(Table1[[#This Row],[name]],":")</f>
        <v>chrTallFont_B:</v>
      </c>
      <c r="J228" s="1" t="str">
        <f>CONCATENATE(".incbin """,Table1[[#This Row],[dir]],"/",Table1[[#This Row],[name]],".",Table1[[#This Row],[ext]],"""")</f>
        <v>.incbin "chr/chrTallFont_B.chr"</v>
      </c>
    </row>
    <row r="229" spans="1:10" x14ac:dyDescent="0.25">
      <c r="A229" s="1" t="s">
        <v>145</v>
      </c>
      <c r="B229" s="2"/>
      <c r="C229" s="2" t="s">
        <v>256</v>
      </c>
      <c r="D229" s="1" t="s">
        <v>276</v>
      </c>
      <c r="E229" s="1" t="s">
        <v>257</v>
      </c>
      <c r="F229" s="1" t="s">
        <v>124</v>
      </c>
      <c r="G229" s="1" t="s">
        <v>257</v>
      </c>
      <c r="H22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bins.append(BinFile(0x24810, 0x400, "chrGiantTower_AA", "chr", "chr", "us"))</v>
      </c>
      <c r="I229" s="1" t="str">
        <f>CONCATENATE(Table1[[#This Row],[name]],":")</f>
        <v>chrGiantTower_AA:</v>
      </c>
      <c r="J229" s="1" t="str">
        <f>CONCATENATE(".incbin """,Table1[[#This Row],[dir]],"/",Table1[[#This Row],[name]],".",Table1[[#This Row],[ext]],"""")</f>
        <v>.incbin "chr/chrGiantTower_AA.chr"</v>
      </c>
    </row>
    <row r="230" spans="1:10" x14ac:dyDescent="0.25">
      <c r="A230" s="1" t="s">
        <v>146</v>
      </c>
      <c r="B230" s="2"/>
      <c r="C230" s="2" t="s">
        <v>256</v>
      </c>
      <c r="D230" s="1" t="s">
        <v>277</v>
      </c>
      <c r="E230" s="1" t="s">
        <v>257</v>
      </c>
      <c r="F230" s="1" t="s">
        <v>124</v>
      </c>
      <c r="G230" s="1" t="s">
        <v>257</v>
      </c>
      <c r="H23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bins.append(BinFile(0x24C10, 0x400, "chrGiantTower_AB", "chr", "chr", "us"))</v>
      </c>
      <c r="I230" s="1" t="str">
        <f>CONCATENATE(Table1[[#This Row],[name]],":")</f>
        <v>chrGiantTower_AB:</v>
      </c>
      <c r="J230" s="1" t="str">
        <f>CONCATENATE(".incbin """,Table1[[#This Row],[dir]],"/",Table1[[#This Row],[name]],".",Table1[[#This Row],[ext]],"""")</f>
        <v>.incbin "chr/chrGiantTower_AB.chr"</v>
      </c>
    </row>
    <row r="231" spans="1:10" x14ac:dyDescent="0.25">
      <c r="A231" s="1" t="s">
        <v>147</v>
      </c>
      <c r="B231" s="2"/>
      <c r="C231" s="2" t="s">
        <v>256</v>
      </c>
      <c r="D231" s="1" t="s">
        <v>278</v>
      </c>
      <c r="E231" s="1" t="s">
        <v>257</v>
      </c>
      <c r="F231" s="1" t="s">
        <v>124</v>
      </c>
      <c r="G231" s="1" t="s">
        <v>257</v>
      </c>
      <c r="H23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bins.append(BinFile(0x25010, 0x400, "chrGiantTower_BA", "chr", "chr", "us"))</v>
      </c>
      <c r="I231" s="1" t="str">
        <f>CONCATENATE(Table1[[#This Row],[name]],":")</f>
        <v>chrGiantTower_BA:</v>
      </c>
      <c r="J231" s="1" t="str">
        <f>CONCATENATE(".incbin """,Table1[[#This Row],[dir]],"/",Table1[[#This Row],[name]],".",Table1[[#This Row],[ext]],"""")</f>
        <v>.incbin "chr/chrGiantTower_BA.chr"</v>
      </c>
    </row>
    <row r="232" spans="1:10" x14ac:dyDescent="0.25">
      <c r="A232" s="1" t="s">
        <v>148</v>
      </c>
      <c r="B232" s="2"/>
      <c r="C232" s="2" t="s">
        <v>256</v>
      </c>
      <c r="D232" s="1" t="s">
        <v>279</v>
      </c>
      <c r="E232" s="1" t="s">
        <v>257</v>
      </c>
      <c r="F232" s="1" t="s">
        <v>124</v>
      </c>
      <c r="G232" s="1" t="s">
        <v>257</v>
      </c>
      <c r="H23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bins.append(BinFile(0x25410, 0x400, "chrGiantTower_BB", "chr", "chr", "us"))</v>
      </c>
      <c r="I232" s="1" t="str">
        <f>CONCATENATE(Table1[[#This Row],[name]],":")</f>
        <v>chrGiantTower_BB:</v>
      </c>
      <c r="J232" s="1" t="str">
        <f>CONCATENATE(".incbin """,Table1[[#This Row],[dir]],"/",Table1[[#This Row],[name]],".",Table1[[#This Row],[ext]],"""")</f>
        <v>.incbin "chr/chrGiantTower_BB.chr"</v>
      </c>
    </row>
    <row r="233" spans="1:10" x14ac:dyDescent="0.25">
      <c r="A233" s="1" t="s">
        <v>149</v>
      </c>
      <c r="B233" s="2"/>
      <c r="C233" s="2" t="s">
        <v>256</v>
      </c>
      <c r="D233" s="1" t="s">
        <v>280</v>
      </c>
      <c r="E233" s="1" t="s">
        <v>257</v>
      </c>
      <c r="F233" s="1" t="s">
        <v>124</v>
      </c>
      <c r="G233" s="1" t="s">
        <v>257</v>
      </c>
      <c r="H23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bins.append(BinFile(0x25810, 0x400, "chrGiantTower_CA", "chr", "chr", "us"))</v>
      </c>
      <c r="I233" s="1" t="str">
        <f>CONCATENATE(Table1[[#This Row],[name]],":")</f>
        <v>chrGiantTower_CA:</v>
      </c>
      <c r="J233" s="1" t="str">
        <f>CONCATENATE(".incbin """,Table1[[#This Row],[dir]],"/",Table1[[#This Row],[name]],".",Table1[[#This Row],[ext]],"""")</f>
        <v>.incbin "chr/chrGiantTower_CA.chr"</v>
      </c>
    </row>
    <row r="234" spans="1:10" x14ac:dyDescent="0.25">
      <c r="A234" s="1" t="s">
        <v>150</v>
      </c>
      <c r="B234" s="2"/>
      <c r="C234" s="2" t="s">
        <v>256</v>
      </c>
      <c r="D234" s="1" t="s">
        <v>281</v>
      </c>
      <c r="E234" s="1" t="s">
        <v>257</v>
      </c>
      <c r="F234" s="1" t="s">
        <v>124</v>
      </c>
      <c r="G234" s="1" t="s">
        <v>257</v>
      </c>
      <c r="H23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bins.append(BinFile(0x25C10, 0x400, "chrGiantTower_CB", "chr", "chr", "us"))</v>
      </c>
      <c r="I234" s="1" t="str">
        <f>CONCATENATE(Table1[[#This Row],[name]],":")</f>
        <v>chrGiantTower_CB:</v>
      </c>
      <c r="J234" s="1" t="str">
        <f>CONCATENATE(".incbin """,Table1[[#This Row],[dir]],"/",Table1[[#This Row],[name]],".",Table1[[#This Row],[ext]],"""")</f>
        <v>.incbin "chr/chrGiantTower_CB.chr"</v>
      </c>
    </row>
    <row r="235" spans="1:10" x14ac:dyDescent="0.25">
      <c r="A235" s="1" t="s">
        <v>151</v>
      </c>
      <c r="B235" s="2"/>
      <c r="C235" s="2" t="s">
        <v>256</v>
      </c>
      <c r="D235" s="1" t="s">
        <v>282</v>
      </c>
      <c r="E235" s="1" t="s">
        <v>257</v>
      </c>
      <c r="F235" s="1" t="s">
        <v>124</v>
      </c>
      <c r="G235" s="1" t="s">
        <v>257</v>
      </c>
      <c r="H23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bins.append(BinFile(0x26010, 0x400, "chrFans_AA", "chr", "chr", "us"))</v>
      </c>
      <c r="I235" s="1" t="str">
        <f>CONCATENATE(Table1[[#This Row],[name]],":")</f>
        <v>chrFans_AA:</v>
      </c>
      <c r="J235" s="1" t="str">
        <f>CONCATENATE(".incbin """,Table1[[#This Row],[dir]],"/",Table1[[#This Row],[name]],".",Table1[[#This Row],[ext]],"""")</f>
        <v>.incbin "chr/chrFans_AA.chr"</v>
      </c>
    </row>
    <row r="236" spans="1:10" x14ac:dyDescent="0.25">
      <c r="A236" s="1" t="s">
        <v>152</v>
      </c>
      <c r="B236" s="2"/>
      <c r="C236" s="2" t="s">
        <v>256</v>
      </c>
      <c r="D236" s="1" t="s">
        <v>283</v>
      </c>
      <c r="E236" s="1" t="s">
        <v>257</v>
      </c>
      <c r="F236" s="1" t="s">
        <v>124</v>
      </c>
      <c r="G236" s="1" t="s">
        <v>257</v>
      </c>
      <c r="H23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bins.append(BinFile(0x26410, 0x400, "chrFans_AB", "chr", "chr", "us"))</v>
      </c>
      <c r="I236" s="1" t="str">
        <f>CONCATENATE(Table1[[#This Row],[name]],":")</f>
        <v>chrFans_AB:</v>
      </c>
      <c r="J236" s="1" t="str">
        <f>CONCATENATE(".incbin """,Table1[[#This Row],[dir]],"/",Table1[[#This Row],[name]],".",Table1[[#This Row],[ext]],"""")</f>
        <v>.incbin "chr/chrFans_AB.chr"</v>
      </c>
    </row>
    <row r="237" spans="1:10" x14ac:dyDescent="0.25">
      <c r="A237" s="1" t="s">
        <v>153</v>
      </c>
      <c r="B237" s="2"/>
      <c r="C237" s="2" t="s">
        <v>256</v>
      </c>
      <c r="D237" s="1" t="s">
        <v>284</v>
      </c>
      <c r="E237" s="1" t="s">
        <v>257</v>
      </c>
      <c r="F237" s="1" t="s">
        <v>124</v>
      </c>
      <c r="G237" s="1" t="s">
        <v>257</v>
      </c>
      <c r="H23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bins.append(BinFile(0x26810, 0x400, "chrFans_BA", "chr", "chr", "us"))</v>
      </c>
      <c r="I237" s="1" t="str">
        <f>CONCATENATE(Table1[[#This Row],[name]],":")</f>
        <v>chrFans_BA:</v>
      </c>
      <c r="J237" s="1" t="str">
        <f>CONCATENATE(".incbin """,Table1[[#This Row],[dir]],"/",Table1[[#This Row],[name]],".",Table1[[#This Row],[ext]],"""")</f>
        <v>.incbin "chr/chrFans_BA.chr"</v>
      </c>
    </row>
    <row r="238" spans="1:10" x14ac:dyDescent="0.25">
      <c r="A238" s="1" t="s">
        <v>154</v>
      </c>
      <c r="B238" s="2"/>
      <c r="C238" s="2" t="s">
        <v>256</v>
      </c>
      <c r="D238" s="1" t="s">
        <v>285</v>
      </c>
      <c r="E238" s="1" t="s">
        <v>257</v>
      </c>
      <c r="F238" s="1" t="s">
        <v>124</v>
      </c>
      <c r="G238" s="1" t="s">
        <v>257</v>
      </c>
      <c r="H23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bins.append(BinFile(0x26C10, 0x400, "chrFans_BB", "chr", "chr", "us"))</v>
      </c>
      <c r="I238" s="1" t="str">
        <f>CONCATENATE(Table1[[#This Row],[name]],":")</f>
        <v>chrFans_BB:</v>
      </c>
      <c r="J238" s="1" t="str">
        <f>CONCATENATE(".incbin """,Table1[[#This Row],[dir]],"/",Table1[[#This Row],[name]],".",Table1[[#This Row],[ext]],"""")</f>
        <v>.incbin "chr/chrFans_BB.chr"</v>
      </c>
    </row>
    <row r="239" spans="1:10" x14ac:dyDescent="0.25">
      <c r="A239" s="1" t="s">
        <v>155</v>
      </c>
      <c r="B239" s="2"/>
      <c r="C239" s="2" t="s">
        <v>256</v>
      </c>
      <c r="D239" s="1" t="s">
        <v>286</v>
      </c>
      <c r="E239" s="1" t="s">
        <v>257</v>
      </c>
      <c r="F239" s="1" t="s">
        <v>124</v>
      </c>
      <c r="G239" s="1" t="s">
        <v>257</v>
      </c>
      <c r="H23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bins.append(BinFile(0x27010, 0x400, "chrFans_CA", "chr", "chr", "us"))</v>
      </c>
      <c r="I239" s="1" t="str">
        <f>CONCATENATE(Table1[[#This Row],[name]],":")</f>
        <v>chrFans_CA:</v>
      </c>
      <c r="J239" s="1" t="str">
        <f>CONCATENATE(".incbin """,Table1[[#This Row],[dir]],"/",Table1[[#This Row],[name]],".",Table1[[#This Row],[ext]],"""")</f>
        <v>.incbin "chr/chrFans_CA.chr"</v>
      </c>
    </row>
    <row r="240" spans="1:10" x14ac:dyDescent="0.25">
      <c r="A240" s="1" t="s">
        <v>156</v>
      </c>
      <c r="B240" s="2"/>
      <c r="C240" s="2" t="s">
        <v>256</v>
      </c>
      <c r="D240" s="1" t="s">
        <v>287</v>
      </c>
      <c r="E240" s="1" t="s">
        <v>257</v>
      </c>
      <c r="F240" s="1" t="s">
        <v>124</v>
      </c>
      <c r="G240" s="1" t="s">
        <v>257</v>
      </c>
      <c r="H24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bins.append(BinFile(0x27410, 0x400, "chrFans_CB", "chr", "chr", "us"))</v>
      </c>
      <c r="I240" s="1" t="str">
        <f>CONCATENATE(Table1[[#This Row],[name]],":")</f>
        <v>chrFans_CB:</v>
      </c>
      <c r="J240" s="1" t="str">
        <f>CONCATENATE(".incbin """,Table1[[#This Row],[dir]],"/",Table1[[#This Row],[name]],".",Table1[[#This Row],[ext]],"""")</f>
        <v>.incbin "chr/chrFans_CB.chr"</v>
      </c>
    </row>
    <row r="241" spans="1:10" x14ac:dyDescent="0.25">
      <c r="A241" s="1" t="s">
        <v>157</v>
      </c>
      <c r="B241" s="2"/>
      <c r="C241" s="2" t="s">
        <v>256</v>
      </c>
      <c r="D241" s="1" t="s">
        <v>288</v>
      </c>
      <c r="E241" s="1" t="s">
        <v>257</v>
      </c>
      <c r="F241" s="1" t="s">
        <v>124</v>
      </c>
      <c r="G241" s="1" t="s">
        <v>257</v>
      </c>
      <c r="H24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bins.append(BinFile(0x27810, 0x400, "chrBoomtown_A", "chr", "chr", "us"))</v>
      </c>
      <c r="I241" s="1" t="str">
        <f>CONCATENATE(Table1[[#This Row],[name]],":")</f>
        <v>chrBoomtown_A:</v>
      </c>
      <c r="J241" s="1" t="str">
        <f>CONCATENATE(".incbin """,Table1[[#This Row],[dir]],"/",Table1[[#This Row],[name]],".",Table1[[#This Row],[ext]],"""")</f>
        <v>.incbin "chr/chrBoomtown_A.chr"</v>
      </c>
    </row>
    <row r="242" spans="1:10" x14ac:dyDescent="0.25">
      <c r="A242" s="1" t="s">
        <v>158</v>
      </c>
      <c r="B242" s="2"/>
      <c r="C242" s="2" t="s">
        <v>256</v>
      </c>
      <c r="D242" s="1" t="s">
        <v>289</v>
      </c>
      <c r="E242" s="1" t="s">
        <v>257</v>
      </c>
      <c r="F242" s="1" t="s">
        <v>124</v>
      </c>
      <c r="G242" s="1" t="s">
        <v>257</v>
      </c>
      <c r="H24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bins.append(BinFile(0x27C10, 0x400, "chrBoomtown_B", "chr", "chr", "us"))</v>
      </c>
      <c r="I242" s="1" t="str">
        <f>CONCATENATE(Table1[[#This Row],[name]],":")</f>
        <v>chrBoomtown_B:</v>
      </c>
      <c r="J242" s="1" t="str">
        <f>CONCATENATE(".incbin """,Table1[[#This Row],[dir]],"/",Table1[[#This Row],[name]],".",Table1[[#This Row],[ext]],"""")</f>
        <v>.incbin "chr/chrBoomtown_B.chr"</v>
      </c>
    </row>
    <row r="243" spans="1:10" x14ac:dyDescent="0.25">
      <c r="A243" s="1" t="s">
        <v>159</v>
      </c>
      <c r="B243" s="2"/>
      <c r="C243" s="2" t="s">
        <v>256</v>
      </c>
      <c r="D243" s="1" t="s">
        <v>290</v>
      </c>
      <c r="E243" s="1" t="s">
        <v>257</v>
      </c>
      <c r="F243" s="1" t="s">
        <v>124</v>
      </c>
      <c r="G243" s="1" t="s">
        <v>257</v>
      </c>
      <c r="H24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bins.append(BinFile(0x28010, 0x400, "chrShiningLake_AA", "chr", "chr", "us"))</v>
      </c>
      <c r="I243" s="1" t="str">
        <f>CONCATENATE(Table1[[#This Row],[name]],":")</f>
        <v>chrShiningLake_AA:</v>
      </c>
      <c r="J243" s="1" t="str">
        <f>CONCATENATE(".incbin """,Table1[[#This Row],[dir]],"/",Table1[[#This Row],[name]],".",Table1[[#This Row],[ext]],"""")</f>
        <v>.incbin "chr/chrShiningLake_AA.chr"</v>
      </c>
    </row>
    <row r="244" spans="1:10" x14ac:dyDescent="0.25">
      <c r="A244" s="1" t="s">
        <v>160</v>
      </c>
      <c r="B244" s="2"/>
      <c r="C244" s="2" t="s">
        <v>256</v>
      </c>
      <c r="D244" s="1" t="s">
        <v>291</v>
      </c>
      <c r="E244" s="1" t="s">
        <v>257</v>
      </c>
      <c r="F244" s="1" t="s">
        <v>124</v>
      </c>
      <c r="G244" s="1" t="s">
        <v>257</v>
      </c>
      <c r="H24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bins.append(BinFile(0x28410, 0x400, "chrShiningLake_AB", "chr", "chr", "us"))</v>
      </c>
      <c r="I244" s="1" t="str">
        <f>CONCATENATE(Table1[[#This Row],[name]],":")</f>
        <v>chrShiningLake_AB:</v>
      </c>
      <c r="J244" s="1" t="str">
        <f>CONCATENATE(".incbin """,Table1[[#This Row],[dir]],"/",Table1[[#This Row],[name]],".",Table1[[#This Row],[ext]],"""")</f>
        <v>.incbin "chr/chrShiningLake_AB.chr"</v>
      </c>
    </row>
    <row r="245" spans="1:10" x14ac:dyDescent="0.25">
      <c r="A245" s="1" t="s">
        <v>161</v>
      </c>
      <c r="B245" s="2"/>
      <c r="C245" s="2" t="s">
        <v>256</v>
      </c>
      <c r="D245" s="1" t="s">
        <v>292</v>
      </c>
      <c r="E245" s="1" t="s">
        <v>257</v>
      </c>
      <c r="F245" s="1" t="s">
        <v>124</v>
      </c>
      <c r="G245" s="1" t="s">
        <v>257</v>
      </c>
      <c r="H24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bins.append(BinFile(0x28810, 0x400, "chrShiningLake_BA", "chr", "chr", "us"))</v>
      </c>
      <c r="I245" s="1" t="str">
        <f>CONCATENATE(Table1[[#This Row],[name]],":")</f>
        <v>chrShiningLake_BA:</v>
      </c>
      <c r="J245" s="1" t="str">
        <f>CONCATENATE(".incbin """,Table1[[#This Row],[dir]],"/",Table1[[#This Row],[name]],".",Table1[[#This Row],[ext]],"""")</f>
        <v>.incbin "chr/chrShiningLake_BA.chr"</v>
      </c>
    </row>
    <row r="246" spans="1:10" x14ac:dyDescent="0.25">
      <c r="A246" s="1" t="s">
        <v>162</v>
      </c>
      <c r="B246" s="2"/>
      <c r="C246" s="2" t="s">
        <v>256</v>
      </c>
      <c r="D246" s="1" t="s">
        <v>293</v>
      </c>
      <c r="E246" s="1" t="s">
        <v>257</v>
      </c>
      <c r="F246" s="1" t="s">
        <v>124</v>
      </c>
      <c r="G246" s="1" t="s">
        <v>257</v>
      </c>
      <c r="H24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bins.append(BinFile(0x28C10, 0x400, "chrShiningLake_BB", "chr", "chr", "us"))</v>
      </c>
      <c r="I246" s="1" t="str">
        <f>CONCATENATE(Table1[[#This Row],[name]],":")</f>
        <v>chrShiningLake_BB:</v>
      </c>
      <c r="J246" s="1" t="str">
        <f>CONCATENATE(".incbin """,Table1[[#This Row],[dir]],"/",Table1[[#This Row],[name]],".",Table1[[#This Row],[ext]],"""")</f>
        <v>.incbin "chr/chrShiningLake_BB.chr"</v>
      </c>
    </row>
    <row r="247" spans="1:10" x14ac:dyDescent="0.25">
      <c r="A247" s="1" t="s">
        <v>163</v>
      </c>
      <c r="B247" s="2"/>
      <c r="C247" s="2" t="s">
        <v>256</v>
      </c>
      <c r="D247" s="1" t="s">
        <v>294</v>
      </c>
      <c r="E247" s="1" t="s">
        <v>257</v>
      </c>
      <c r="F247" s="1" t="s">
        <v>124</v>
      </c>
      <c r="G247" s="1" t="s">
        <v>257</v>
      </c>
      <c r="H24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bins.append(BinFile(0x29010, 0x400, "chrShiningLake_CA", "chr", "chr", "us"))</v>
      </c>
      <c r="I247" s="1" t="str">
        <f>CONCATENATE(Table1[[#This Row],[name]],":")</f>
        <v>chrShiningLake_CA:</v>
      </c>
      <c r="J247" s="1" t="str">
        <f>CONCATENATE(".incbin """,Table1[[#This Row],[dir]],"/",Table1[[#This Row],[name]],".",Table1[[#This Row],[ext]],"""")</f>
        <v>.incbin "chr/chrShiningLake_CA.chr"</v>
      </c>
    </row>
    <row r="248" spans="1:10" x14ac:dyDescent="0.25">
      <c r="A248" s="1" t="s">
        <v>164</v>
      </c>
      <c r="B248" s="2"/>
      <c r="C248" s="2" t="s">
        <v>256</v>
      </c>
      <c r="D248" s="1" t="s">
        <v>295</v>
      </c>
      <c r="E248" s="1" t="s">
        <v>257</v>
      </c>
      <c r="F248" s="1" t="s">
        <v>124</v>
      </c>
      <c r="G248" s="1" t="s">
        <v>257</v>
      </c>
      <c r="H24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bins.append(BinFile(0x29410, 0x400, "chrShiningLake_CB", "chr", "chr", "us"))</v>
      </c>
      <c r="I248" s="1" t="str">
        <f>CONCATENATE(Table1[[#This Row],[name]],":")</f>
        <v>chrShiningLake_CB:</v>
      </c>
      <c r="J248" s="1" t="str">
        <f>CONCATENATE(".incbin """,Table1[[#This Row],[dir]],"/",Table1[[#This Row],[name]],".",Table1[[#This Row],[ext]],"""")</f>
        <v>.incbin "chr/chrShiningLake_CB.chr"</v>
      </c>
    </row>
    <row r="249" spans="1:10" x14ac:dyDescent="0.25">
      <c r="A249" s="1" t="s">
        <v>165</v>
      </c>
      <c r="B249" s="2"/>
      <c r="C249" s="2" t="s">
        <v>256</v>
      </c>
      <c r="D249" s="1" t="s">
        <v>296</v>
      </c>
      <c r="E249" s="1" t="s">
        <v>257</v>
      </c>
      <c r="F249" s="1" t="s">
        <v>124</v>
      </c>
      <c r="G249" s="1" t="s">
        <v>257</v>
      </c>
      <c r="H24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bins.append(BinFile(0x29810, 0x400, "chrFireCastle_AA", "chr", "chr", "us"))</v>
      </c>
      <c r="I249" s="1" t="str">
        <f>CONCATENATE(Table1[[#This Row],[name]],":")</f>
        <v>chrFireCastle_AA:</v>
      </c>
      <c r="J249" s="1" t="str">
        <f>CONCATENATE(".incbin """,Table1[[#This Row],[dir]],"/",Table1[[#This Row],[name]],".",Table1[[#This Row],[ext]],"""")</f>
        <v>.incbin "chr/chrFireCastle_AA.chr"</v>
      </c>
    </row>
    <row r="250" spans="1:10" x14ac:dyDescent="0.25">
      <c r="A250" s="1" t="s">
        <v>166</v>
      </c>
      <c r="B250" s="2"/>
      <c r="C250" s="2" t="s">
        <v>256</v>
      </c>
      <c r="D250" s="1" t="s">
        <v>297</v>
      </c>
      <c r="E250" s="1" t="s">
        <v>257</v>
      </c>
      <c r="F250" s="1" t="s">
        <v>124</v>
      </c>
      <c r="G250" s="1" t="s">
        <v>257</v>
      </c>
      <c r="H25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bins.append(BinFile(0x29C10, 0x400, "chrFireCastle_AB", "chr", "chr", "us"))</v>
      </c>
      <c r="I250" s="1" t="str">
        <f>CONCATENATE(Table1[[#This Row],[name]],":")</f>
        <v>chrFireCastle_AB:</v>
      </c>
      <c r="J250" s="1" t="str">
        <f>CONCATENATE(".incbin """,Table1[[#This Row],[dir]],"/",Table1[[#This Row],[name]],".",Table1[[#This Row],[ext]],"""")</f>
        <v>.incbin "chr/chrFireCastle_AB.chr"</v>
      </c>
    </row>
    <row r="251" spans="1:10" x14ac:dyDescent="0.25">
      <c r="A251" s="1" t="s">
        <v>167</v>
      </c>
      <c r="B251" s="2"/>
      <c r="C251" s="2" t="s">
        <v>256</v>
      </c>
      <c r="D251" s="1" t="s">
        <v>298</v>
      </c>
      <c r="E251" s="1" t="s">
        <v>257</v>
      </c>
      <c r="F251" s="1" t="s">
        <v>124</v>
      </c>
      <c r="G251" s="1" t="s">
        <v>257</v>
      </c>
      <c r="H25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bins.append(BinFile(0x2A010, 0x400, "chrFireCastle_BA", "chr", "chr", "us"))</v>
      </c>
      <c r="I251" s="1" t="str">
        <f>CONCATENATE(Table1[[#This Row],[name]],":")</f>
        <v>chrFireCastle_BA:</v>
      </c>
      <c r="J251" s="1" t="str">
        <f>CONCATENATE(".incbin """,Table1[[#This Row],[dir]],"/",Table1[[#This Row],[name]],".",Table1[[#This Row],[ext]],"""")</f>
        <v>.incbin "chr/chrFireCastle_BA.chr"</v>
      </c>
    </row>
    <row r="252" spans="1:10" x14ac:dyDescent="0.25">
      <c r="A252" s="1" t="s">
        <v>168</v>
      </c>
      <c r="B252" s="2"/>
      <c r="C252" s="2" t="s">
        <v>256</v>
      </c>
      <c r="D252" s="1" t="s">
        <v>299</v>
      </c>
      <c r="E252" s="1" t="s">
        <v>257</v>
      </c>
      <c r="F252" s="1" t="s">
        <v>124</v>
      </c>
      <c r="G252" s="1" t="s">
        <v>257</v>
      </c>
      <c r="H25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bins.append(BinFile(0x2A410, 0x400, "chrFireCastle_BB", "chr", "chr", "us"))</v>
      </c>
      <c r="I252" s="1" t="str">
        <f>CONCATENATE(Table1[[#This Row],[name]],":")</f>
        <v>chrFireCastle_BB:</v>
      </c>
      <c r="J252" s="1" t="str">
        <f>CONCATENATE(".incbin """,Table1[[#This Row],[dir]],"/",Table1[[#This Row],[name]],".",Table1[[#This Row],[ext]],"""")</f>
        <v>.incbin "chr/chrFireCastle_BB.chr"</v>
      </c>
    </row>
    <row r="253" spans="1:10" x14ac:dyDescent="0.25">
      <c r="A253" s="1" t="s">
        <v>169</v>
      </c>
      <c r="B253" s="2"/>
      <c r="C253" s="2" t="s">
        <v>256</v>
      </c>
      <c r="D253" s="1" t="s">
        <v>300</v>
      </c>
      <c r="E253" s="1" t="s">
        <v>257</v>
      </c>
      <c r="F253" s="1" t="s">
        <v>124</v>
      </c>
      <c r="G253" s="1" t="s">
        <v>257</v>
      </c>
      <c r="H25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bins.append(BinFile(0x2A810, 0x400, "chrBossCave_A", "chr", "chr", "us"))</v>
      </c>
      <c r="I253" s="1" t="str">
        <f>CONCATENATE(Table1[[#This Row],[name]],":")</f>
        <v>chrBossCave_A:</v>
      </c>
      <c r="J253" s="1" t="str">
        <f>CONCATENATE(".incbin """,Table1[[#This Row],[dir]],"/",Table1[[#This Row],[name]],".",Table1[[#This Row],[ext]],"""")</f>
        <v>.incbin "chr/chrBossCave_A.chr"</v>
      </c>
    </row>
    <row r="254" spans="1:10" x14ac:dyDescent="0.25">
      <c r="A254" s="1" t="s">
        <v>170</v>
      </c>
      <c r="B254" s="2"/>
      <c r="C254" s="2" t="s">
        <v>256</v>
      </c>
      <c r="D254" s="1" t="s">
        <v>301</v>
      </c>
      <c r="E254" s="1" t="s">
        <v>257</v>
      </c>
      <c r="F254" s="1" t="s">
        <v>124</v>
      </c>
      <c r="G254" s="1" t="s">
        <v>257</v>
      </c>
      <c r="H25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bins.append(BinFile(0x2AC10, 0x400, "chrBossCave_B", "chr", "chr", "us"))</v>
      </c>
      <c r="I254" s="1" t="str">
        <f>CONCATENATE(Table1[[#This Row],[name]],":")</f>
        <v>chrBossCave_B:</v>
      </c>
      <c r="J254" s="1" t="str">
        <f>CONCATENATE(".incbin """,Table1[[#This Row],[dir]],"/",Table1[[#This Row],[name]],".",Table1[[#This Row],[ext]],"""")</f>
        <v>.incbin "chr/chrBossCave_B.chr"</v>
      </c>
    </row>
    <row r="255" spans="1:10" x14ac:dyDescent="0.25">
      <c r="A255" s="1" t="s">
        <v>171</v>
      </c>
      <c r="B255" s="2"/>
      <c r="C255" s="2" t="s">
        <v>256</v>
      </c>
      <c r="D255" s="1" t="s">
        <v>302</v>
      </c>
      <c r="E255" s="1" t="s">
        <v>257</v>
      </c>
      <c r="F255" s="1" t="s">
        <v>124</v>
      </c>
      <c r="G255" s="1" t="s">
        <v>257</v>
      </c>
      <c r="H25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bins.append(BinFile(0x2B010, 0x400, "chrItems", "chr", "chr", "us"))</v>
      </c>
      <c r="I255" s="1" t="str">
        <f>CONCATENATE(Table1[[#This Row],[name]],":")</f>
        <v>chrItems:</v>
      </c>
      <c r="J255" s="1" t="str">
        <f>CONCATENATE(".incbin """,Table1[[#This Row],[dir]],"/",Table1[[#This Row],[name]],".",Table1[[#This Row],[ext]],"""")</f>
        <v>.incbin "chr/chrItems.chr"</v>
      </c>
    </row>
    <row r="256" spans="1:10" x14ac:dyDescent="0.25">
      <c r="A256" s="1" t="s">
        <v>172</v>
      </c>
      <c r="B256" s="2"/>
      <c r="C256" s="2" t="s">
        <v>256</v>
      </c>
      <c r="D256" s="1" t="s">
        <v>303</v>
      </c>
      <c r="E256" s="1" t="s">
        <v>257</v>
      </c>
      <c r="F256" s="1" t="s">
        <v>124</v>
      </c>
      <c r="G256" s="1" t="s">
        <v>257</v>
      </c>
      <c r="H25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bins.append(BinFile(0x2B410, 0x400, "chrGameOver", "chr", "chr", "us"))</v>
      </c>
      <c r="I256" s="1" t="str">
        <f>CONCATENATE(Table1[[#This Row],[name]],":")</f>
        <v>chrGameOver:</v>
      </c>
      <c r="J256" s="1" t="str">
        <f>CONCATENATE(".incbin """,Table1[[#This Row],[dir]],"/",Table1[[#This Row],[name]],".",Table1[[#This Row],[ext]],"""")</f>
        <v>.incbin "chr/chrGameOver.chr"</v>
      </c>
    </row>
    <row r="257" spans="1:10" x14ac:dyDescent="0.25">
      <c r="A257" s="1" t="s">
        <v>173</v>
      </c>
      <c r="B257" s="2"/>
      <c r="C257" s="2" t="s">
        <v>256</v>
      </c>
      <c r="D257" s="1" t="s">
        <v>304</v>
      </c>
      <c r="E257" s="1" t="s">
        <v>257</v>
      </c>
      <c r="F257" s="1" t="s">
        <v>124</v>
      </c>
      <c r="G257" s="1" t="s">
        <v>257</v>
      </c>
      <c r="H25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bins.append(BinFile(0x2B810, 0x400, "chrMissileTractor_AA", "chr", "chr", "us"))</v>
      </c>
      <c r="I257" s="1" t="str">
        <f>CONCATENATE(Table1[[#This Row],[name]],":")</f>
        <v>chrMissileTractor_AA:</v>
      </c>
      <c r="J257" s="1" t="str">
        <f>CONCATENATE(".incbin """,Table1[[#This Row],[dir]],"/",Table1[[#This Row],[name]],".",Table1[[#This Row],[ext]],"""")</f>
        <v>.incbin "chr/chrMissileTractor_AA.chr"</v>
      </c>
    </row>
    <row r="258" spans="1:10" x14ac:dyDescent="0.25">
      <c r="A258" s="1" t="s">
        <v>174</v>
      </c>
      <c r="B258" s="2"/>
      <c r="C258" s="2" t="s">
        <v>256</v>
      </c>
      <c r="D258" s="1" t="s">
        <v>305</v>
      </c>
      <c r="E258" s="1" t="s">
        <v>257</v>
      </c>
      <c r="F258" s="1" t="s">
        <v>124</v>
      </c>
      <c r="G258" s="1" t="s">
        <v>257</v>
      </c>
      <c r="H25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bins.append(BinFile(0x2BC10, 0x400, "chrMissileTractor_AB", "chr", "chr", "us"))</v>
      </c>
      <c r="I258" s="1" t="str">
        <f>CONCATENATE(Table1[[#This Row],[name]],":")</f>
        <v>chrMissileTractor_AB:</v>
      </c>
      <c r="J258" s="1" t="str">
        <f>CONCATENATE(".incbin """,Table1[[#This Row],[dir]],"/",Table1[[#This Row],[name]],".",Table1[[#This Row],[ext]],"""")</f>
        <v>.incbin "chr/chrMissileTractor_AB.chr"</v>
      </c>
    </row>
    <row r="259" spans="1:10" x14ac:dyDescent="0.25">
      <c r="A259" s="1" t="s">
        <v>175</v>
      </c>
      <c r="B259" s="2"/>
      <c r="C259" s="2" t="s">
        <v>256</v>
      </c>
      <c r="D259" s="1" t="s">
        <v>306</v>
      </c>
      <c r="E259" s="1" t="s">
        <v>257</v>
      </c>
      <c r="F259" s="1" t="s">
        <v>124</v>
      </c>
      <c r="G259" s="1" t="s">
        <v>257</v>
      </c>
      <c r="H25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bins.append(BinFile(0x2C010, 0x400, "chrMissileTractor_BA", "chr", "chr", "us"))</v>
      </c>
      <c r="I259" s="1" t="str">
        <f>CONCATENATE(Table1[[#This Row],[name]],":")</f>
        <v>chrMissileTractor_BA:</v>
      </c>
      <c r="J259" s="1" t="str">
        <f>CONCATENATE(".incbin """,Table1[[#This Row],[dir]],"/",Table1[[#This Row],[name]],".",Table1[[#This Row],[ext]],"""")</f>
        <v>.incbin "chr/chrMissileTractor_BA.chr"</v>
      </c>
    </row>
    <row r="260" spans="1:10" x14ac:dyDescent="0.25">
      <c r="A260" s="1" t="s">
        <v>176</v>
      </c>
      <c r="B260" s="2"/>
      <c r="C260" s="2" t="s">
        <v>256</v>
      </c>
      <c r="D260" s="1" t="s">
        <v>307</v>
      </c>
      <c r="E260" s="1" t="s">
        <v>257</v>
      </c>
      <c r="F260" s="1" t="s">
        <v>124</v>
      </c>
      <c r="G260" s="1" t="s">
        <v>257</v>
      </c>
      <c r="H26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bins.append(BinFile(0x2C410, 0x400, "chrMissileTractor_BB", "chr", "chr", "us"))</v>
      </c>
      <c r="I260" s="1" t="str">
        <f>CONCATENATE(Table1[[#This Row],[name]],":")</f>
        <v>chrMissileTractor_BB:</v>
      </c>
      <c r="J260" s="1" t="str">
        <f>CONCATENATE(".incbin """,Table1[[#This Row],[dir]],"/",Table1[[#This Row],[name]],".",Table1[[#This Row],[ext]],"""")</f>
        <v>.incbin "chr/chrMissileTractor_BB.chr"</v>
      </c>
    </row>
    <row r="261" spans="1:10" x14ac:dyDescent="0.25">
      <c r="A261" s="1" t="s">
        <v>177</v>
      </c>
      <c r="B261" s="2"/>
      <c r="C261" s="2" t="s">
        <v>256</v>
      </c>
      <c r="D261" s="1" t="s">
        <v>308</v>
      </c>
      <c r="E261" s="1" t="s">
        <v>257</v>
      </c>
      <c r="F261" s="1" t="s">
        <v>124</v>
      </c>
      <c r="G261" s="1" t="s">
        <v>257</v>
      </c>
      <c r="H26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bins.append(BinFile(0x2C810, 0x400, "chrMissileTractor_CA", "chr", "chr", "us"))</v>
      </c>
      <c r="I261" s="1" t="str">
        <f>CONCATENATE(Table1[[#This Row],[name]],":")</f>
        <v>chrMissileTractor_CA:</v>
      </c>
      <c r="J261" s="1" t="str">
        <f>CONCATENATE(".incbin """,Table1[[#This Row],[dir]],"/",Table1[[#This Row],[name]],".",Table1[[#This Row],[ext]],"""")</f>
        <v>.incbin "chr/chrMissileTractor_CA.chr"</v>
      </c>
    </row>
    <row r="262" spans="1:10" x14ac:dyDescent="0.25">
      <c r="A262" s="1" t="s">
        <v>178</v>
      </c>
      <c r="B262" s="2"/>
      <c r="C262" s="2" t="s">
        <v>256</v>
      </c>
      <c r="D262" s="1" t="s">
        <v>309</v>
      </c>
      <c r="E262" s="1" t="s">
        <v>257</v>
      </c>
      <c r="F262" s="1" t="s">
        <v>124</v>
      </c>
      <c r="G262" s="1" t="s">
        <v>257</v>
      </c>
      <c r="H26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bins.append(BinFile(0x2CC10, 0x400, "chrMissileTractor_CB", "chr", "chr", "us"))</v>
      </c>
      <c r="I262" s="1" t="str">
        <f>CONCATENATE(Table1[[#This Row],[name]],":")</f>
        <v>chrMissileTractor_CB:</v>
      </c>
      <c r="J262" s="1" t="str">
        <f>CONCATENATE(".incbin """,Table1[[#This Row],[dir]],"/",Table1[[#This Row],[name]],".",Table1[[#This Row],[ext]],"""")</f>
        <v>.incbin "chr/chrMissileTractor_CB.chr"</v>
      </c>
    </row>
    <row r="263" spans="1:10" x14ac:dyDescent="0.25">
      <c r="A263" s="1" t="s">
        <v>179</v>
      </c>
      <c r="B263" s="2"/>
      <c r="C263" s="2" t="s">
        <v>256</v>
      </c>
      <c r="D263" s="1" t="s">
        <v>310</v>
      </c>
      <c r="E263" s="1" t="s">
        <v>257</v>
      </c>
      <c r="F263" s="1" t="s">
        <v>124</v>
      </c>
      <c r="G263" s="1" t="s">
        <v>257</v>
      </c>
      <c r="H26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bins.append(BinFile(0x2D010, 0x400, "chrBigReward_A", "chr", "chr", "us"))</v>
      </c>
      <c r="I263" s="1" t="str">
        <f>CONCATENATE(Table1[[#This Row],[name]],":")</f>
        <v>chrBigReward_A:</v>
      </c>
      <c r="J263" s="1" t="str">
        <f>CONCATENATE(".incbin """,Table1[[#This Row],[dir]],"/",Table1[[#This Row],[name]],".",Table1[[#This Row],[ext]],"""")</f>
        <v>.incbin "chr/chrBigReward_A.chr"</v>
      </c>
    </row>
    <row r="264" spans="1:10" x14ac:dyDescent="0.25">
      <c r="A264" s="1" t="s">
        <v>180</v>
      </c>
      <c r="B264" s="2"/>
      <c r="C264" s="2" t="s">
        <v>256</v>
      </c>
      <c r="D264" s="1" t="s">
        <v>311</v>
      </c>
      <c r="E264" s="1" t="s">
        <v>257</v>
      </c>
      <c r="F264" s="1" t="s">
        <v>124</v>
      </c>
      <c r="G264" s="1" t="s">
        <v>257</v>
      </c>
      <c r="H26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bins.append(BinFile(0x2D410, 0x400, "chrBigReward_B", "chr", "chr", "us"))</v>
      </c>
      <c r="I264" s="1" t="str">
        <f>CONCATENATE(Table1[[#This Row],[name]],":")</f>
        <v>chrBigReward_B:</v>
      </c>
      <c r="J264" s="1" t="str">
        <f>CONCATENATE(".incbin """,Table1[[#This Row],[dir]],"/",Table1[[#This Row],[name]],".",Table1[[#This Row],[ext]],"""")</f>
        <v>.incbin "chr/chrBigReward_B.chr"</v>
      </c>
    </row>
    <row r="265" spans="1:10" x14ac:dyDescent="0.25">
      <c r="A265" s="1" t="s">
        <v>181</v>
      </c>
      <c r="B265" s="2"/>
      <c r="C265" s="2" t="s">
        <v>256</v>
      </c>
      <c r="D265" s="1" t="s">
        <v>312</v>
      </c>
      <c r="E265" s="1" t="s">
        <v>257</v>
      </c>
      <c r="F265" s="1" t="s">
        <v>124</v>
      </c>
      <c r="G265" s="1" t="s">
        <v>257</v>
      </c>
      <c r="H26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bins.append(BinFile(0x2D810, 0x400, "chrPlayerTravel_A", "chr", "chr", "us"))</v>
      </c>
      <c r="I265" s="1" t="str">
        <f>CONCATENATE(Table1[[#This Row],[name]],":")</f>
        <v>chrPlayerTravel_A:</v>
      </c>
      <c r="J265" s="1" t="str">
        <f>CONCATENATE(".incbin """,Table1[[#This Row],[dir]],"/",Table1[[#This Row],[name]],".",Table1[[#This Row],[ext]],"""")</f>
        <v>.incbin "chr/chrPlayerTravel_A.chr"</v>
      </c>
    </row>
    <row r="266" spans="1:10" x14ac:dyDescent="0.25">
      <c r="A266" s="1" t="s">
        <v>182</v>
      </c>
      <c r="B266" s="2"/>
      <c r="C266" s="2" t="s">
        <v>256</v>
      </c>
      <c r="D266" s="1" t="s">
        <v>313</v>
      </c>
      <c r="E266" s="1" t="s">
        <v>257</v>
      </c>
      <c r="F266" s="1" t="s">
        <v>124</v>
      </c>
      <c r="G266" s="1" t="s">
        <v>257</v>
      </c>
      <c r="H26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bins.append(BinFile(0x2DC10, 0x400, "chrPlayerTravel_B", "chr", "chr", "us"))</v>
      </c>
      <c r="I266" s="1" t="str">
        <f>CONCATENATE(Table1[[#This Row],[name]],":")</f>
        <v>chrPlayerTravel_B:</v>
      </c>
      <c r="J266" s="1" t="str">
        <f>CONCATENATE(".incbin """,Table1[[#This Row],[dir]],"/",Table1[[#This Row],[name]],".",Table1[[#This Row],[ext]],"""")</f>
        <v>.incbin "chr/chrPlayerTravel_B.chr"</v>
      </c>
    </row>
    <row r="267" spans="1:10" x14ac:dyDescent="0.25">
      <c r="A267" s="1" t="s">
        <v>183</v>
      </c>
      <c r="B267" s="2"/>
      <c r="C267" s="2" t="s">
        <v>256</v>
      </c>
      <c r="D267" s="1" t="s">
        <v>314</v>
      </c>
      <c r="E267" s="1" t="s">
        <v>257</v>
      </c>
      <c r="F267" s="1" t="s">
        <v>124</v>
      </c>
      <c r="G267" s="1" t="s">
        <v>257</v>
      </c>
      <c r="H26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bins.append(BinFile(0x2E010, 0x400, "chrShoeCar_A", "chr", "chr", "us"))</v>
      </c>
      <c r="I267" s="1" t="str">
        <f>CONCATENATE(Table1[[#This Row],[name]],":")</f>
        <v>chrShoeCar_A:</v>
      </c>
      <c r="J267" s="1" t="str">
        <f>CONCATENATE(".incbin """,Table1[[#This Row],[dir]],"/",Table1[[#This Row],[name]],".",Table1[[#This Row],[ext]],"""")</f>
        <v>.incbin "chr/chrShoeCar_A.chr"</v>
      </c>
    </row>
    <row r="268" spans="1:10" x14ac:dyDescent="0.25">
      <c r="A268" s="1" t="s">
        <v>184</v>
      </c>
      <c r="B268" s="2"/>
      <c r="C268" s="2" t="s">
        <v>256</v>
      </c>
      <c r="D268" s="1" t="s">
        <v>315</v>
      </c>
      <c r="E268" s="1" t="s">
        <v>257</v>
      </c>
      <c r="F268" s="1" t="s">
        <v>124</v>
      </c>
      <c r="G268" s="1" t="s">
        <v>257</v>
      </c>
      <c r="H26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bins.append(BinFile(0x2E410, 0x400, "chrShoeCar_B", "chr", "chr", "us"))</v>
      </c>
      <c r="I268" s="1" t="str">
        <f>CONCATENATE(Table1[[#This Row],[name]],":")</f>
        <v>chrShoeCar_B:</v>
      </c>
      <c r="J268" s="1" t="str">
        <f>CONCATENATE(".incbin """,Table1[[#This Row],[dir]],"/",Table1[[#This Row],[name]],".",Table1[[#This Row],[ext]],"""")</f>
        <v>.incbin "chr/chrShoeCar_B.chr"</v>
      </c>
    </row>
    <row r="269" spans="1:10" x14ac:dyDescent="0.25">
      <c r="A269" s="1" t="s">
        <v>185</v>
      </c>
      <c r="B269" s="2"/>
      <c r="C269" s="2" t="s">
        <v>256</v>
      </c>
      <c r="D269" s="1" t="s">
        <v>316</v>
      </c>
      <c r="E269" s="1" t="s">
        <v>257</v>
      </c>
      <c r="F269" s="1" t="s">
        <v>124</v>
      </c>
      <c r="G269" s="1" t="s">
        <v>257</v>
      </c>
      <c r="H26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bins.append(BinFile(0x2E810, 0x400, "chrBonusRoom_A", "chr", "chr", "us"))</v>
      </c>
      <c r="I269" s="1" t="str">
        <f>CONCATENATE(Table1[[#This Row],[name]],":")</f>
        <v>chrBonusRoom_A:</v>
      </c>
      <c r="J269" s="1" t="str">
        <f>CONCATENATE(".incbin """,Table1[[#This Row],[dir]],"/",Table1[[#This Row],[name]],".",Table1[[#This Row],[ext]],"""")</f>
        <v>.incbin "chr/chrBonusRoom_A.chr"</v>
      </c>
    </row>
    <row r="270" spans="1:10" x14ac:dyDescent="0.25">
      <c r="A270" s="1" t="s">
        <v>186</v>
      </c>
      <c r="B270" s="2"/>
      <c r="C270" s="2" t="s">
        <v>256</v>
      </c>
      <c r="D270" s="1" t="s">
        <v>317</v>
      </c>
      <c r="E270" s="1" t="s">
        <v>257</v>
      </c>
      <c r="F270" s="1" t="s">
        <v>124</v>
      </c>
      <c r="G270" s="1" t="s">
        <v>257</v>
      </c>
      <c r="H27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bins.append(BinFile(0x2EC10, 0x400, "chrBonusRoom_B", "chr", "chr", "us"))</v>
      </c>
      <c r="I270" s="1" t="str">
        <f>CONCATENATE(Table1[[#This Row],[name]],":")</f>
        <v>chrBonusRoom_B:</v>
      </c>
      <c r="J270" s="1" t="str">
        <f>CONCATENATE(".incbin """,Table1[[#This Row],[dir]],"/",Table1[[#This Row],[name]],".",Table1[[#This Row],[ext]],"""")</f>
        <v>.incbin "chr/chrBonusRoom_B.chr"</v>
      </c>
    </row>
    <row r="271" spans="1:10" x14ac:dyDescent="0.25">
      <c r="A271" s="1" t="s">
        <v>187</v>
      </c>
      <c r="B271" s="2"/>
      <c r="C271" s="2" t="s">
        <v>256</v>
      </c>
      <c r="D271" s="1" t="s">
        <v>318</v>
      </c>
      <c r="E271" s="1" t="s">
        <v>257</v>
      </c>
      <c r="F271" s="1" t="s">
        <v>124</v>
      </c>
      <c r="G271" s="1" t="s">
        <v>257</v>
      </c>
      <c r="H27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bins.append(BinFile(0x2F010, 0x400, "chrBarcelon_A", "chr", "chr", "us"))</v>
      </c>
      <c r="I271" s="1" t="str">
        <f>CONCATENATE(Table1[[#This Row],[name]],":")</f>
        <v>chrBarcelon_A:</v>
      </c>
      <c r="J271" s="1" t="str">
        <f>CONCATENATE(".incbin """,Table1[[#This Row],[dir]],"/",Table1[[#This Row],[name]],".",Table1[[#This Row],[ext]],"""")</f>
        <v>.incbin "chr/chrBarcelon_A.chr"</v>
      </c>
    </row>
    <row r="272" spans="1:10" x14ac:dyDescent="0.25">
      <c r="A272" s="1" t="s">
        <v>188</v>
      </c>
      <c r="B272" s="2"/>
      <c r="C272" s="2" t="s">
        <v>256</v>
      </c>
      <c r="D272" s="1" t="s">
        <v>319</v>
      </c>
      <c r="E272" s="1" t="s">
        <v>257</v>
      </c>
      <c r="F272" s="1" t="s">
        <v>124</v>
      </c>
      <c r="G272" s="1" t="s">
        <v>257</v>
      </c>
      <c r="H27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bins.append(BinFile(0x2F410, 0x400, "chrBarcelon_B", "chr", "chr", "us"))</v>
      </c>
      <c r="I272" s="1" t="str">
        <f>CONCATENATE(Table1[[#This Row],[name]],":")</f>
        <v>chrBarcelon_B:</v>
      </c>
      <c r="J272" s="1" t="str">
        <f>CONCATENATE(".incbin """,Table1[[#This Row],[dir]],"/",Table1[[#This Row],[name]],".",Table1[[#This Row],[ext]],"""")</f>
        <v>.incbin "chr/chrBarcelon_B.chr"</v>
      </c>
    </row>
    <row r="273" spans="1:10" x14ac:dyDescent="0.25">
      <c r="A273" s="1" t="s">
        <v>189</v>
      </c>
      <c r="B273" s="2"/>
      <c r="C273" s="2" t="s">
        <v>256</v>
      </c>
      <c r="D273" s="1" t="s">
        <v>320</v>
      </c>
      <c r="E273" s="1" t="s">
        <v>257</v>
      </c>
      <c r="F273" s="1" t="s">
        <v>124</v>
      </c>
      <c r="G273" s="1" t="s">
        <v>257</v>
      </c>
      <c r="H27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bins.append(BinFile(0x2F810, 0x400, "chrBonusBall_A", "chr", "chr", "us"))</v>
      </c>
      <c r="I273" s="1" t="str">
        <f>CONCATENATE(Table1[[#This Row],[name]],":")</f>
        <v>chrBonusBall_A:</v>
      </c>
      <c r="J273" s="1" t="str">
        <f>CONCATENATE(".incbin """,Table1[[#This Row],[dir]],"/",Table1[[#This Row],[name]],".",Table1[[#This Row],[ext]],"""")</f>
        <v>.incbin "chr/chrBonusBall_A.chr"</v>
      </c>
    </row>
    <row r="274" spans="1:10" x14ac:dyDescent="0.25">
      <c r="A274" s="1" t="s">
        <v>190</v>
      </c>
      <c r="B274" s="2"/>
      <c r="C274" s="2" t="s">
        <v>256</v>
      </c>
      <c r="D274" s="1" t="s">
        <v>321</v>
      </c>
      <c r="E274" s="1" t="s">
        <v>257</v>
      </c>
      <c r="F274" s="1" t="s">
        <v>124</v>
      </c>
      <c r="G274" s="1" t="s">
        <v>257</v>
      </c>
      <c r="H27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bins.append(BinFile(0x2FC10, 0x400, "chrBonusBall_B", "chr", "chr", "us"))</v>
      </c>
      <c r="I274" s="1" t="str">
        <f>CONCATENATE(Table1[[#This Row],[name]],":")</f>
        <v>chrBonusBall_B:</v>
      </c>
      <c r="J274" s="1" t="str">
        <f>CONCATENATE(".incbin """,Table1[[#This Row],[dir]],"/",Table1[[#This Row],[name]],".",Table1[[#This Row],[ext]],"""")</f>
        <v>.incbin "chr/chrBonusBall_B.chr"</v>
      </c>
    </row>
    <row r="275" spans="1:10" x14ac:dyDescent="0.25">
      <c r="A275" s="1" t="s">
        <v>191</v>
      </c>
      <c r="B275" s="2"/>
      <c r="C275" s="2" t="s">
        <v>256</v>
      </c>
      <c r="D275" s="1" t="s">
        <v>322</v>
      </c>
      <c r="E275" s="1" t="s">
        <v>257</v>
      </c>
      <c r="F275" s="1" t="s">
        <v>124</v>
      </c>
      <c r="G275" s="1" t="s">
        <v>257</v>
      </c>
      <c r="H27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bins.append(BinFile(0x30010, 0x400, "chrPlayer_A", "chr", "chr", "us"))</v>
      </c>
      <c r="I275" s="1" t="str">
        <f>CONCATENATE(Table1[[#This Row],[name]],":")</f>
        <v>chrPlayer_A:</v>
      </c>
      <c r="J275" s="1" t="str">
        <f>CONCATENATE(".incbin """,Table1[[#This Row],[dir]],"/",Table1[[#This Row],[name]],".",Table1[[#This Row],[ext]],"""")</f>
        <v>.incbin "chr/chrPlayer_A.chr"</v>
      </c>
    </row>
    <row r="276" spans="1:10" x14ac:dyDescent="0.25">
      <c r="A276" s="1" t="s">
        <v>192</v>
      </c>
      <c r="B276" s="2"/>
      <c r="C276" s="2" t="s">
        <v>256</v>
      </c>
      <c r="D276" s="1" t="s">
        <v>323</v>
      </c>
      <c r="E276" s="1" t="s">
        <v>257</v>
      </c>
      <c r="F276" s="1" t="s">
        <v>124</v>
      </c>
      <c r="G276" s="1" t="s">
        <v>257</v>
      </c>
      <c r="H27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bins.append(BinFile(0x30410, 0x400, "chrPlayer_B", "chr", "chr", "us"))</v>
      </c>
      <c r="I276" s="1" t="str">
        <f>CONCATENATE(Table1[[#This Row],[name]],":")</f>
        <v>chrPlayer_B:</v>
      </c>
      <c r="J276" s="1" t="str">
        <f>CONCATENATE(".incbin """,Table1[[#This Row],[dir]],"/",Table1[[#This Row],[name]],".",Table1[[#This Row],[ext]],"""")</f>
        <v>.incbin "chr/chrPlayer_B.chr"</v>
      </c>
    </row>
    <row r="277" spans="1:10" x14ac:dyDescent="0.25">
      <c r="A277" s="1" t="s">
        <v>193</v>
      </c>
      <c r="B277" s="2"/>
      <c r="C277" s="2" t="s">
        <v>256</v>
      </c>
      <c r="D277" s="1" t="s">
        <v>324</v>
      </c>
      <c r="E277" s="1" t="s">
        <v>257</v>
      </c>
      <c r="F277" s="1" t="s">
        <v>124</v>
      </c>
      <c r="G277" s="1" t="s">
        <v>257</v>
      </c>
      <c r="H27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bins.append(BinFile(0x30810, 0x400, "chrPlayer_C", "chr", "chr", "us"))</v>
      </c>
      <c r="I277" s="1" t="str">
        <f>CONCATENATE(Table1[[#This Row],[name]],":")</f>
        <v>chrPlayer_C:</v>
      </c>
      <c r="J277" s="1" t="str">
        <f>CONCATENATE(".incbin """,Table1[[#This Row],[dir]],"/",Table1[[#This Row],[name]],".",Table1[[#This Row],[ext]],"""")</f>
        <v>.incbin "chr/chrPlayer_C.chr"</v>
      </c>
    </row>
    <row r="278" spans="1:10" x14ac:dyDescent="0.25">
      <c r="A278" s="1" t="s">
        <v>194</v>
      </c>
      <c r="B278" s="2"/>
      <c r="C278" s="2" t="s">
        <v>256</v>
      </c>
      <c r="D278" s="1" t="s">
        <v>325</v>
      </c>
      <c r="E278" s="1" t="s">
        <v>257</v>
      </c>
      <c r="F278" s="1" t="s">
        <v>124</v>
      </c>
      <c r="G278" s="1" t="s">
        <v>257</v>
      </c>
      <c r="H27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bins.append(BinFile(0x30C10, 0x400, "chrPlayer_D", "chr", "chr", "us"))</v>
      </c>
      <c r="I278" s="1" t="str">
        <f>CONCATENATE(Table1[[#This Row],[name]],":")</f>
        <v>chrPlayer_D:</v>
      </c>
      <c r="J278" s="1" t="str">
        <f>CONCATENATE(".incbin """,Table1[[#This Row],[dir]],"/",Table1[[#This Row],[name]],".",Table1[[#This Row],[ext]],"""")</f>
        <v>.incbin "chr/chrPlayer_D.chr"</v>
      </c>
    </row>
    <row r="279" spans="1:10" x14ac:dyDescent="0.25">
      <c r="A279" s="1" t="s">
        <v>195</v>
      </c>
      <c r="B279" s="2"/>
      <c r="C279" s="2" t="s">
        <v>256</v>
      </c>
      <c r="D279" s="1" t="s">
        <v>326</v>
      </c>
      <c r="E279" s="1" t="s">
        <v>257</v>
      </c>
      <c r="F279" s="1" t="s">
        <v>124</v>
      </c>
      <c r="G279" s="1" t="s">
        <v>257</v>
      </c>
      <c r="H27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bins.append(BinFile(0x31010, 0x400, "chrPlayer_E", "chr", "chr", "us"))</v>
      </c>
      <c r="I279" s="1" t="str">
        <f>CONCATENATE(Table1[[#This Row],[name]],":")</f>
        <v>chrPlayer_E:</v>
      </c>
      <c r="J279" s="1" t="str">
        <f>CONCATENATE(".incbin """,Table1[[#This Row],[dir]],"/",Table1[[#This Row],[name]],".",Table1[[#This Row],[ext]],"""")</f>
        <v>.incbin "chr/chrPlayer_E.chr"</v>
      </c>
    </row>
    <row r="280" spans="1:10" x14ac:dyDescent="0.25">
      <c r="A280" s="1" t="s">
        <v>196</v>
      </c>
      <c r="B280" s="2"/>
      <c r="C280" s="2" t="s">
        <v>256</v>
      </c>
      <c r="D280" s="1" t="s">
        <v>327</v>
      </c>
      <c r="E280" s="1" t="s">
        <v>257</v>
      </c>
      <c r="F280" s="1" t="s">
        <v>124</v>
      </c>
      <c r="G280" s="1" t="s">
        <v>257</v>
      </c>
      <c r="H28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bins.append(BinFile(0x31410, 0x400, "chrPlayer_F", "chr", "chr", "us"))</v>
      </c>
      <c r="I280" s="1" t="str">
        <f>CONCATENATE(Table1[[#This Row],[name]],":")</f>
        <v>chrPlayer_F:</v>
      </c>
      <c r="J280" s="1" t="str">
        <f>CONCATENATE(".incbin """,Table1[[#This Row],[dir]],"/",Table1[[#This Row],[name]],".",Table1[[#This Row],[ext]],"""")</f>
        <v>.incbin "chr/chrPlayer_F.chr"</v>
      </c>
    </row>
    <row r="281" spans="1:10" x14ac:dyDescent="0.25">
      <c r="A281" s="1" t="s">
        <v>197</v>
      </c>
      <c r="B281" s="2"/>
      <c r="C281" s="2" t="s">
        <v>256</v>
      </c>
      <c r="D281" s="1" t="s">
        <v>328</v>
      </c>
      <c r="E281" s="1" t="s">
        <v>257</v>
      </c>
      <c r="F281" s="1" t="s">
        <v>124</v>
      </c>
      <c r="G281" s="1" t="s">
        <v>257</v>
      </c>
      <c r="H28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bins.append(BinFile(0x31810, 0x400, "chrPlayer_G", "chr", "chr", "us"))</v>
      </c>
      <c r="I281" s="1" t="str">
        <f>CONCATENATE(Table1[[#This Row],[name]],":")</f>
        <v>chrPlayer_G:</v>
      </c>
      <c r="J281" s="1" t="str">
        <f>CONCATENATE(".incbin """,Table1[[#This Row],[dir]],"/",Table1[[#This Row],[name]],".",Table1[[#This Row],[ext]],"""")</f>
        <v>.incbin "chr/chrPlayer_G.chr"</v>
      </c>
    </row>
    <row r="282" spans="1:10" x14ac:dyDescent="0.25">
      <c r="A282" s="1" t="s">
        <v>198</v>
      </c>
      <c r="B282" s="2"/>
      <c r="C282" s="2" t="s">
        <v>256</v>
      </c>
      <c r="D282" s="1" t="s">
        <v>329</v>
      </c>
      <c r="E282" s="1" t="s">
        <v>257</v>
      </c>
      <c r="F282" s="1" t="s">
        <v>124</v>
      </c>
      <c r="G282" s="1" t="s">
        <v>257</v>
      </c>
      <c r="H28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bins.append(BinFile(0x31C10, 0x400, "chrPlayer_H", "chr", "chr", "us"))</v>
      </c>
      <c r="I282" s="1" t="str">
        <f>CONCATENATE(Table1[[#This Row],[name]],":")</f>
        <v>chrPlayer_H:</v>
      </c>
      <c r="J282" s="1" t="str">
        <f>CONCATENATE(".incbin """,Table1[[#This Row],[dir]],"/",Table1[[#This Row],[name]],".",Table1[[#This Row],[ext]],"""")</f>
        <v>.incbin "chr/chrPlayer_H.chr"</v>
      </c>
    </row>
    <row r="283" spans="1:10" x14ac:dyDescent="0.25">
      <c r="A283" s="1" t="s">
        <v>199</v>
      </c>
      <c r="B283" s="2"/>
      <c r="C283" s="2" t="s">
        <v>256</v>
      </c>
      <c r="D283" s="1" t="s">
        <v>330</v>
      </c>
      <c r="E283" s="1" t="s">
        <v>257</v>
      </c>
      <c r="F283" s="1" t="s">
        <v>124</v>
      </c>
      <c r="G283" s="1" t="s">
        <v>257</v>
      </c>
      <c r="H28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bins.append(BinFile(0x32010, 0x400, "chrPlayer_I", "chr", "chr", "us"))</v>
      </c>
      <c r="I283" s="1" t="str">
        <f>CONCATENATE(Table1[[#This Row],[name]],":")</f>
        <v>chrPlayer_I:</v>
      </c>
      <c r="J283" s="1" t="str">
        <f>CONCATENATE(".incbin """,Table1[[#This Row],[dir]],"/",Table1[[#This Row],[name]],".",Table1[[#This Row],[ext]],"""")</f>
        <v>.incbin "chr/chrPlayer_I.chr"</v>
      </c>
    </row>
    <row r="284" spans="1:10" x14ac:dyDescent="0.25">
      <c r="A284" s="1" t="s">
        <v>200</v>
      </c>
      <c r="B284" s="2"/>
      <c r="C284" s="2" t="s">
        <v>256</v>
      </c>
      <c r="D284" s="1" t="s">
        <v>331</v>
      </c>
      <c r="E284" s="1" t="s">
        <v>257</v>
      </c>
      <c r="F284" s="1" t="s">
        <v>124</v>
      </c>
      <c r="G284" s="1" t="s">
        <v>257</v>
      </c>
      <c r="H28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bins.append(BinFile(0x32410, 0x400, "chrPlayer_J", "chr", "chr", "us"))</v>
      </c>
      <c r="I284" s="1" t="str">
        <f>CONCATENATE(Table1[[#This Row],[name]],":")</f>
        <v>chrPlayer_J:</v>
      </c>
      <c r="J284" s="1" t="str">
        <f>CONCATENATE(".incbin """,Table1[[#This Row],[dir]],"/",Table1[[#This Row],[name]],".",Table1[[#This Row],[ext]],"""")</f>
        <v>.incbin "chr/chrPlayer_J.chr"</v>
      </c>
    </row>
    <row r="285" spans="1:10" x14ac:dyDescent="0.25">
      <c r="A285" s="1" t="s">
        <v>201</v>
      </c>
      <c r="B285" s="2"/>
      <c r="C285" s="2" t="s">
        <v>256</v>
      </c>
      <c r="D285" s="1" t="s">
        <v>332</v>
      </c>
      <c r="E285" s="1" t="s">
        <v>257</v>
      </c>
      <c r="F285" s="1" t="s">
        <v>124</v>
      </c>
      <c r="G285" s="1" t="s">
        <v>257</v>
      </c>
      <c r="H28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bins.append(BinFile(0x32810, 0x400, "chrPlayer_K", "chr", "chr", "us"))</v>
      </c>
      <c r="I285" s="1" t="str">
        <f>CONCATENATE(Table1[[#This Row],[name]],":")</f>
        <v>chrPlayer_K:</v>
      </c>
      <c r="J285" s="1" t="str">
        <f>CONCATENATE(".incbin """,Table1[[#This Row],[dir]],"/",Table1[[#This Row],[name]],".",Table1[[#This Row],[ext]],"""")</f>
        <v>.incbin "chr/chrPlayer_K.chr"</v>
      </c>
    </row>
    <row r="286" spans="1:10" x14ac:dyDescent="0.25">
      <c r="A286" s="1" t="s">
        <v>202</v>
      </c>
      <c r="B286" s="2"/>
      <c r="C286" s="2" t="s">
        <v>256</v>
      </c>
      <c r="D286" s="1" t="s">
        <v>333</v>
      </c>
      <c r="E286" s="1" t="s">
        <v>257</v>
      </c>
      <c r="F286" s="1" t="s">
        <v>124</v>
      </c>
      <c r="G286" s="1" t="s">
        <v>257</v>
      </c>
      <c r="H28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bins.append(BinFile(0x32C10, 0x400, "chrPlayer_L", "chr", "chr", "us"))</v>
      </c>
      <c r="I286" s="1" t="str">
        <f>CONCATENATE(Table1[[#This Row],[name]],":")</f>
        <v>chrPlayer_L:</v>
      </c>
      <c r="J286" s="1" t="str">
        <f>CONCATENATE(".incbin """,Table1[[#This Row],[dir]],"/",Table1[[#This Row],[name]],".",Table1[[#This Row],[ext]],"""")</f>
        <v>.incbin "chr/chrPlayer_L.chr"</v>
      </c>
    </row>
    <row r="287" spans="1:10" x14ac:dyDescent="0.25">
      <c r="A287" s="1" t="s">
        <v>203</v>
      </c>
      <c r="B287" s="2"/>
      <c r="C287" s="2" t="s">
        <v>256</v>
      </c>
      <c r="D287" s="1" t="s">
        <v>334</v>
      </c>
      <c r="E287" s="1" t="s">
        <v>257</v>
      </c>
      <c r="F287" s="1" t="s">
        <v>124</v>
      </c>
      <c r="G287" s="1" t="s">
        <v>257</v>
      </c>
      <c r="H28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bins.append(BinFile(0x33010, 0x400, "chrPlayer_M", "chr", "chr", "us"))</v>
      </c>
      <c r="I287" s="1" t="str">
        <f>CONCATENATE(Table1[[#This Row],[name]],":")</f>
        <v>chrPlayer_M:</v>
      </c>
      <c r="J287" s="1" t="str">
        <f>CONCATENATE(".incbin """,Table1[[#This Row],[dir]],"/",Table1[[#This Row],[name]],".",Table1[[#This Row],[ext]],"""")</f>
        <v>.incbin "chr/chrPlayer_M.chr"</v>
      </c>
    </row>
    <row r="288" spans="1:10" x14ac:dyDescent="0.25">
      <c r="A288" s="1" t="s">
        <v>204</v>
      </c>
      <c r="B288" s="2"/>
      <c r="C288" s="2" t="s">
        <v>256</v>
      </c>
      <c r="D288" s="1" t="s">
        <v>335</v>
      </c>
      <c r="E288" s="1" t="s">
        <v>257</v>
      </c>
      <c r="F288" s="1" t="s">
        <v>124</v>
      </c>
      <c r="G288" s="1" t="s">
        <v>257</v>
      </c>
      <c r="H28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bins.append(BinFile(0x33410, 0x400, "chrPlayer_N", "chr", "chr", "us"))</v>
      </c>
      <c r="I288" s="1" t="str">
        <f>CONCATENATE(Table1[[#This Row],[name]],":")</f>
        <v>chrPlayer_N:</v>
      </c>
      <c r="J288" s="1" t="str">
        <f>CONCATENATE(".incbin """,Table1[[#This Row],[dir]],"/",Table1[[#This Row],[name]],".",Table1[[#This Row],[ext]],"""")</f>
        <v>.incbin "chr/chrPlayer_N.chr"</v>
      </c>
    </row>
    <row r="289" spans="1:10" x14ac:dyDescent="0.25">
      <c r="A289" s="1" t="s">
        <v>205</v>
      </c>
      <c r="B289" s="2"/>
      <c r="C289" s="2" t="s">
        <v>256</v>
      </c>
      <c r="D289" s="1" t="s">
        <v>336</v>
      </c>
      <c r="E289" s="1" t="s">
        <v>257</v>
      </c>
      <c r="F289" s="1" t="s">
        <v>124</v>
      </c>
      <c r="G289" s="1" t="s">
        <v>257</v>
      </c>
      <c r="H28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bins.append(BinFile(0x33810, 0x400, "chrPlayer_O", "chr", "chr", "us"))</v>
      </c>
      <c r="I289" s="1" t="str">
        <f>CONCATENATE(Table1[[#This Row],[name]],":")</f>
        <v>chrPlayer_O:</v>
      </c>
      <c r="J289" s="1" t="str">
        <f>CONCATENATE(".incbin """,Table1[[#This Row],[dir]],"/",Table1[[#This Row],[name]],".",Table1[[#This Row],[ext]],"""")</f>
        <v>.incbin "chr/chrPlayer_O.chr"</v>
      </c>
    </row>
    <row r="290" spans="1:10" x14ac:dyDescent="0.25">
      <c r="A290" s="1" t="s">
        <v>206</v>
      </c>
      <c r="B290" s="2"/>
      <c r="C290" s="2" t="s">
        <v>256</v>
      </c>
      <c r="D290" s="1" t="s">
        <v>337</v>
      </c>
      <c r="E290" s="1" t="s">
        <v>257</v>
      </c>
      <c r="F290" s="1" t="s">
        <v>124</v>
      </c>
      <c r="G290" s="1" t="s">
        <v>257</v>
      </c>
      <c r="H29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bins.append(BinFile(0x33C10, 0x400, "chrPlayer_P", "chr", "chr", "us"))</v>
      </c>
      <c r="I290" s="1" t="str">
        <f>CONCATENATE(Table1[[#This Row],[name]],":")</f>
        <v>chrPlayer_P:</v>
      </c>
      <c r="J290" s="1" t="str">
        <f>CONCATENATE(".incbin """,Table1[[#This Row],[dir]],"/",Table1[[#This Row],[name]],".",Table1[[#This Row],[ext]],"""")</f>
        <v>.incbin "chr/chrPlayer_P.chr"</v>
      </c>
    </row>
    <row r="291" spans="1:10" x14ac:dyDescent="0.25">
      <c r="A291" s="1" t="s">
        <v>207</v>
      </c>
      <c r="B291" s="2"/>
      <c r="C291" s="2" t="s">
        <v>256</v>
      </c>
      <c r="D291" s="1" t="s">
        <v>338</v>
      </c>
      <c r="E291" s="1" t="s">
        <v>257</v>
      </c>
      <c r="F291" s="1" t="s">
        <v>124</v>
      </c>
      <c r="G291" s="1" t="s">
        <v>257</v>
      </c>
      <c r="H29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bins.append(BinFile(0x34010, 0x400, "chrThunder", "chr", "chr", "us"))</v>
      </c>
      <c r="I291" s="1" t="str">
        <f>CONCATENATE(Table1[[#This Row],[name]],":")</f>
        <v>chrThunder:</v>
      </c>
      <c r="J291" s="1" t="str">
        <f>CONCATENATE(".incbin """,Table1[[#This Row],[dir]],"/",Table1[[#This Row],[name]],".",Table1[[#This Row],[ext]],"""")</f>
        <v>.incbin "chr/chrThunder.chr"</v>
      </c>
    </row>
    <row r="292" spans="1:10" x14ac:dyDescent="0.25">
      <c r="A292" s="1" t="s">
        <v>208</v>
      </c>
      <c r="B292" s="2"/>
      <c r="C292" s="2" t="s">
        <v>256</v>
      </c>
      <c r="D292" s="1" t="s">
        <v>339</v>
      </c>
      <c r="E292" s="1" t="s">
        <v>257</v>
      </c>
      <c r="F292" s="1" t="s">
        <v>124</v>
      </c>
      <c r="G292" s="1" t="s">
        <v>257</v>
      </c>
      <c r="H29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bins.append(BinFile(0x34410, 0x400, "chrSnow", "chr", "chr", "us"))</v>
      </c>
      <c r="I292" s="1" t="str">
        <f>CONCATENATE(Table1[[#This Row],[name]],":")</f>
        <v>chrSnow:</v>
      </c>
      <c r="J292" s="1" t="str">
        <f>CONCATENATE(".incbin """,Table1[[#This Row],[dir]],"/",Table1[[#This Row],[name]],".",Table1[[#This Row],[ext]],"""")</f>
        <v>.incbin "chr/chrSnow.chr"</v>
      </c>
    </row>
    <row r="293" spans="1:10" x14ac:dyDescent="0.25">
      <c r="A293" s="1" t="s">
        <v>209</v>
      </c>
      <c r="B293" s="2"/>
      <c r="C293" s="2" t="s">
        <v>256</v>
      </c>
      <c r="D293" s="1" t="s">
        <v>340</v>
      </c>
      <c r="E293" s="1" t="s">
        <v>257</v>
      </c>
      <c r="F293" s="1" t="s">
        <v>124</v>
      </c>
      <c r="G293" s="1" t="s">
        <v>257</v>
      </c>
      <c r="H29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bins.append(BinFile(0x34810, 0x400, "chrFire", "chr", "chr", "us"))</v>
      </c>
      <c r="I293" s="1" t="str">
        <f>CONCATENATE(Table1[[#This Row],[name]],":")</f>
        <v>chrFire:</v>
      </c>
      <c r="J293" s="1" t="str">
        <f>CONCATENATE(".incbin """,Table1[[#This Row],[dir]],"/",Table1[[#This Row],[name]],".",Table1[[#This Row],[ext]],"""")</f>
        <v>.incbin "chr/chrFire.chr"</v>
      </c>
    </row>
    <row r="294" spans="1:10" x14ac:dyDescent="0.25">
      <c r="A294" s="1" t="s">
        <v>210</v>
      </c>
      <c r="B294" s="2"/>
      <c r="C294" s="2" t="s">
        <v>256</v>
      </c>
      <c r="D294" s="1" t="s">
        <v>341</v>
      </c>
      <c r="E294" s="1" t="s">
        <v>257</v>
      </c>
      <c r="F294" s="1" t="s">
        <v>124</v>
      </c>
      <c r="G294" s="1" t="s">
        <v>257</v>
      </c>
      <c r="H29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bins.append(BinFile(0x34C10, 0x400, "chrFlood", "chr", "chr", "us"))</v>
      </c>
      <c r="I294" s="1" t="str">
        <f>CONCATENATE(Table1[[#This Row],[name]],":")</f>
        <v>chrFlood:</v>
      </c>
      <c r="J294" s="1" t="str">
        <f>CONCATENATE(".incbin """,Table1[[#This Row],[dir]],"/",Table1[[#This Row],[name]],".",Table1[[#This Row],[ext]],"""")</f>
        <v>.incbin "chr/chrFlood.chr"</v>
      </c>
    </row>
    <row r="295" spans="1:10" x14ac:dyDescent="0.25">
      <c r="A295" s="1" t="s">
        <v>211</v>
      </c>
      <c r="B295" s="2"/>
      <c r="C295" s="2" t="s">
        <v>256</v>
      </c>
      <c r="D295" s="1" t="s">
        <v>342</v>
      </c>
      <c r="E295" s="1" t="s">
        <v>257</v>
      </c>
      <c r="F295" s="1" t="s">
        <v>124</v>
      </c>
      <c r="G295" s="1" t="s">
        <v>257</v>
      </c>
      <c r="H29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bins.append(BinFile(0x35010, 0x400, "chrWind", "chr", "chr", "us"))</v>
      </c>
      <c r="I295" s="1" t="str">
        <f>CONCATENATE(Table1[[#This Row],[name]],":")</f>
        <v>chrWind:</v>
      </c>
      <c r="J295" s="1" t="str">
        <f>CONCATENATE(".incbin """,Table1[[#This Row],[dir]],"/",Table1[[#This Row],[name]],".",Table1[[#This Row],[ext]],"""")</f>
        <v>.incbin "chr/chrWind.chr"</v>
      </c>
    </row>
    <row r="296" spans="1:10" x14ac:dyDescent="0.25">
      <c r="A296" s="1" t="s">
        <v>212</v>
      </c>
      <c r="B296" s="2"/>
      <c r="C296" s="2" t="s">
        <v>256</v>
      </c>
      <c r="D296" s="1" t="s">
        <v>343</v>
      </c>
      <c r="E296" s="1" t="s">
        <v>257</v>
      </c>
      <c r="F296" s="1" t="s">
        <v>124</v>
      </c>
      <c r="G296" s="1" t="s">
        <v>257</v>
      </c>
      <c r="H29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bins.append(BinFile(0x35410, 0x400, "chrStar", "chr", "chr", "us"))</v>
      </c>
      <c r="I296" s="1" t="str">
        <f>CONCATENATE(Table1[[#This Row],[name]],":")</f>
        <v>chrStar:</v>
      </c>
      <c r="J296" s="1" t="str">
        <f>CONCATENATE(".incbin """,Table1[[#This Row],[dir]],"/",Table1[[#This Row],[name]],".",Table1[[#This Row],[ext]],"""")</f>
        <v>.incbin "chr/chrStar.chr"</v>
      </c>
    </row>
    <row r="297" spans="1:10" x14ac:dyDescent="0.25">
      <c r="A297" s="1" t="s">
        <v>213</v>
      </c>
      <c r="B297" s="2"/>
      <c r="C297" s="2" t="s">
        <v>256</v>
      </c>
      <c r="D297" s="1" t="s">
        <v>344</v>
      </c>
      <c r="E297" s="1" t="s">
        <v>257</v>
      </c>
      <c r="F297" s="1" t="s">
        <v>124</v>
      </c>
      <c r="G297" s="1" t="s">
        <v>257</v>
      </c>
      <c r="H29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bins.append(BinFile(0x35810, 0x400, "chrZenChan", "chr", "chr", "us"))</v>
      </c>
      <c r="I297" s="1" t="str">
        <f>CONCATENATE(Table1[[#This Row],[name]],":")</f>
        <v>chrZenChan:</v>
      </c>
      <c r="J297" s="1" t="str">
        <f>CONCATENATE(".incbin """,Table1[[#This Row],[dir]],"/",Table1[[#This Row],[name]],".",Table1[[#This Row],[ext]],"""")</f>
        <v>.incbin "chr/chrZenChan.chr"</v>
      </c>
    </row>
    <row r="298" spans="1:10" x14ac:dyDescent="0.25">
      <c r="A298" s="1" t="s">
        <v>214</v>
      </c>
      <c r="B298" s="2"/>
      <c r="C298" s="2" t="s">
        <v>256</v>
      </c>
      <c r="D298" s="1" t="s">
        <v>345</v>
      </c>
      <c r="E298" s="1" t="s">
        <v>257</v>
      </c>
      <c r="F298" s="1" t="s">
        <v>124</v>
      </c>
      <c r="G298" s="1" t="s">
        <v>257</v>
      </c>
      <c r="H29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bins.append(BinFile(0x35C10, 0x400, "chrBanebou", "chr", "chr", "us"))</v>
      </c>
      <c r="I298" s="1" t="str">
        <f>CONCATENATE(Table1[[#This Row],[name]],":")</f>
        <v>chrBanebou:</v>
      </c>
      <c r="J298" s="1" t="str">
        <f>CONCATENATE(".incbin """,Table1[[#This Row],[dir]],"/",Table1[[#This Row],[name]],".",Table1[[#This Row],[ext]],"""")</f>
        <v>.incbin "chr/chrBanebou.chr"</v>
      </c>
    </row>
    <row r="299" spans="1:10" x14ac:dyDescent="0.25">
      <c r="A299" s="1" t="s">
        <v>215</v>
      </c>
      <c r="B299" s="2"/>
      <c r="C299" s="2" t="s">
        <v>256</v>
      </c>
      <c r="D299" s="1" t="s">
        <v>346</v>
      </c>
      <c r="E299" s="1" t="s">
        <v>257</v>
      </c>
      <c r="F299" s="1" t="s">
        <v>124</v>
      </c>
      <c r="G299" s="1" t="s">
        <v>257</v>
      </c>
      <c r="H29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bins.append(BinFile(0x36010, 0x400, "chrBlobby", "chr", "chr", "us"))</v>
      </c>
      <c r="I299" s="1" t="str">
        <f>CONCATENATE(Table1[[#This Row],[name]],":")</f>
        <v>chrBlobby:</v>
      </c>
      <c r="J299" s="1" t="str">
        <f>CONCATENATE(".incbin """,Table1[[#This Row],[dir]],"/",Table1[[#This Row],[name]],".",Table1[[#This Row],[ext]],"""")</f>
        <v>.incbin "chr/chrBlobby.chr"</v>
      </c>
    </row>
    <row r="300" spans="1:10" x14ac:dyDescent="0.25">
      <c r="A300" s="1" t="s">
        <v>216</v>
      </c>
      <c r="B300" s="2"/>
      <c r="C300" s="2" t="s">
        <v>256</v>
      </c>
      <c r="D300" s="1" t="s">
        <v>347</v>
      </c>
      <c r="E300" s="1" t="s">
        <v>257</v>
      </c>
      <c r="F300" s="1" t="s">
        <v>124</v>
      </c>
      <c r="G300" s="1" t="s">
        <v>257</v>
      </c>
      <c r="H30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bins.append(BinFile(0x36410, 0x400, "chrPulpul", "chr", "chr", "us"))</v>
      </c>
      <c r="I300" s="1" t="str">
        <f>CONCATENATE(Table1[[#This Row],[name]],":")</f>
        <v>chrPulpul:</v>
      </c>
      <c r="J300" s="1" t="str">
        <f>CONCATENATE(".incbin """,Table1[[#This Row],[dir]],"/",Table1[[#This Row],[name]],".",Table1[[#This Row],[ext]],"""")</f>
        <v>.incbin "chr/chrPulpul.chr"</v>
      </c>
    </row>
    <row r="301" spans="1:10" x14ac:dyDescent="0.25">
      <c r="A301" s="1" t="s">
        <v>217</v>
      </c>
      <c r="B301" s="2"/>
      <c r="C301" s="2" t="s">
        <v>256</v>
      </c>
      <c r="D301" s="1" t="s">
        <v>348</v>
      </c>
      <c r="E301" s="1" t="s">
        <v>257</v>
      </c>
      <c r="F301" s="1" t="s">
        <v>124</v>
      </c>
      <c r="G301" s="1" t="s">
        <v>257</v>
      </c>
      <c r="H30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bins.append(BinFile(0x36810, 0x400, "chrNeedler", "chr", "chr", "us"))</v>
      </c>
      <c r="I301" s="1" t="str">
        <f>CONCATENATE(Table1[[#This Row],[name]],":")</f>
        <v>chrNeedler:</v>
      </c>
      <c r="J301" s="1" t="str">
        <f>CONCATENATE(".incbin """,Table1[[#This Row],[dir]],"/",Table1[[#This Row],[name]],".",Table1[[#This Row],[ext]],"""")</f>
        <v>.incbin "chr/chrNeedler.chr"</v>
      </c>
    </row>
    <row r="302" spans="1:10" x14ac:dyDescent="0.25">
      <c r="A302" s="1" t="s">
        <v>218</v>
      </c>
      <c r="B302" s="2"/>
      <c r="C302" s="2" t="s">
        <v>256</v>
      </c>
      <c r="D302" s="1" t="s">
        <v>349</v>
      </c>
      <c r="E302" s="1" t="s">
        <v>257</v>
      </c>
      <c r="F302" s="1" t="s">
        <v>124</v>
      </c>
      <c r="G302" s="1" t="s">
        <v>257</v>
      </c>
      <c r="H30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bins.append(BinFile(0x36C10, 0x400, "chrInvader", "chr", "chr", "us"))</v>
      </c>
      <c r="I302" s="1" t="str">
        <f>CONCATENATE(Table1[[#This Row],[name]],":")</f>
        <v>chrInvader:</v>
      </c>
      <c r="J302" s="1" t="str">
        <f>CONCATENATE(".incbin """,Table1[[#This Row],[dir]],"/",Table1[[#This Row],[name]],".",Table1[[#This Row],[ext]],"""")</f>
        <v>.incbin "chr/chrInvader.chr"</v>
      </c>
    </row>
    <row r="303" spans="1:10" x14ac:dyDescent="0.25">
      <c r="A303" s="1" t="s">
        <v>219</v>
      </c>
      <c r="B303" s="2"/>
      <c r="C303" s="2" t="s">
        <v>256</v>
      </c>
      <c r="D303" s="1" t="s">
        <v>350</v>
      </c>
      <c r="E303" s="1" t="s">
        <v>257</v>
      </c>
      <c r="F303" s="1" t="s">
        <v>124</v>
      </c>
      <c r="G303" s="1" t="s">
        <v>257</v>
      </c>
      <c r="H30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bins.append(BinFile(0x37010, 0x400, "chrMonsta", "chr", "chr", "us"))</v>
      </c>
      <c r="I303" s="1" t="str">
        <f>CONCATENATE(Table1[[#This Row],[name]],":")</f>
        <v>chrMonsta:</v>
      </c>
      <c r="J303" s="1" t="str">
        <f>CONCATENATE(".incbin """,Table1[[#This Row],[dir]],"/",Table1[[#This Row],[name]],".",Table1[[#This Row],[ext]],"""")</f>
        <v>.incbin "chr/chrMonsta.chr"</v>
      </c>
    </row>
    <row r="304" spans="1:10" x14ac:dyDescent="0.25">
      <c r="A304" s="1" t="s">
        <v>220</v>
      </c>
      <c r="B304" s="2"/>
      <c r="C304" s="2" t="s">
        <v>256</v>
      </c>
      <c r="D304" s="1" t="s">
        <v>351</v>
      </c>
      <c r="E304" s="1" t="s">
        <v>257</v>
      </c>
      <c r="F304" s="1" t="s">
        <v>124</v>
      </c>
      <c r="G304" s="1" t="s">
        <v>257</v>
      </c>
      <c r="H30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bins.append(BinFile(0x37410, 0x400, "chrHeitaiKun", "chr", "chr", "us"))</v>
      </c>
      <c r="I304" s="1" t="str">
        <f>CONCATENATE(Table1[[#This Row],[name]],":")</f>
        <v>chrHeitaiKun:</v>
      </c>
      <c r="J304" s="1" t="str">
        <f>CONCATENATE(".incbin """,Table1[[#This Row],[dir]],"/",Table1[[#This Row],[name]],".",Table1[[#This Row],[ext]],"""")</f>
        <v>.incbin "chr/chrHeitaiKun.chr"</v>
      </c>
    </row>
    <row r="305" spans="1:10" x14ac:dyDescent="0.25">
      <c r="A305" s="1" t="s">
        <v>221</v>
      </c>
      <c r="B305" s="2"/>
      <c r="C305" s="2" t="s">
        <v>256</v>
      </c>
      <c r="D305" s="1" t="s">
        <v>352</v>
      </c>
      <c r="E305" s="1" t="s">
        <v>257</v>
      </c>
      <c r="F305" s="1" t="s">
        <v>124</v>
      </c>
      <c r="G305" s="1" t="s">
        <v>257</v>
      </c>
      <c r="H30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bins.append(BinFile(0x37810, 0x400, "chrCarryHeli", "chr", "chr", "us"))</v>
      </c>
      <c r="I305" s="1" t="str">
        <f>CONCATENATE(Table1[[#This Row],[name]],":")</f>
        <v>chrCarryHeli:</v>
      </c>
      <c r="J305" s="1" t="str">
        <f>CONCATENATE(".incbin """,Table1[[#This Row],[dir]],"/",Table1[[#This Row],[name]],".",Table1[[#This Row],[ext]],"""")</f>
        <v>.incbin "chr/chrCarryHeli.chr"</v>
      </c>
    </row>
    <row r="306" spans="1:10" x14ac:dyDescent="0.25">
      <c r="A306" s="1" t="s">
        <v>222</v>
      </c>
      <c r="B306" s="2"/>
      <c r="C306" s="2" t="s">
        <v>256</v>
      </c>
      <c r="D306" s="1" t="s">
        <v>353</v>
      </c>
      <c r="E306" s="1" t="s">
        <v>257</v>
      </c>
      <c r="F306" s="1" t="s">
        <v>124</v>
      </c>
      <c r="G306" s="1" t="s">
        <v>257</v>
      </c>
      <c r="H30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bins.append(BinFile(0x37C10, 0x400, "chrFlarion", "chr", "chr", "us"))</v>
      </c>
      <c r="I306" s="1" t="str">
        <f>CONCATENATE(Table1[[#This Row],[name]],":")</f>
        <v>chrFlarion:</v>
      </c>
      <c r="J306" s="1" t="str">
        <f>CONCATENATE(".incbin """,Table1[[#This Row],[dir]],"/",Table1[[#This Row],[name]],".",Table1[[#This Row],[ext]],"""")</f>
        <v>.incbin "chr/chrFlarion.chr"</v>
      </c>
    </row>
    <row r="307" spans="1:10" x14ac:dyDescent="0.25">
      <c r="A307" s="1" t="s">
        <v>223</v>
      </c>
      <c r="B307" s="2"/>
      <c r="C307" s="2" t="s">
        <v>256</v>
      </c>
      <c r="D307" s="1" t="s">
        <v>354</v>
      </c>
      <c r="E307" s="1" t="s">
        <v>257</v>
      </c>
      <c r="F307" s="1" t="s">
        <v>124</v>
      </c>
      <c r="G307" s="1" t="s">
        <v>257</v>
      </c>
      <c r="H30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bins.append(BinFile(0x38010, 0x400, "chrSnagger", "chr", "chr", "us"))</v>
      </c>
      <c r="I307" s="1" t="str">
        <f>CONCATENATE(Table1[[#This Row],[name]],":")</f>
        <v>chrSnagger:</v>
      </c>
      <c r="J307" s="1" t="str">
        <f>CONCATENATE(".incbin """,Table1[[#This Row],[dir]],"/",Table1[[#This Row],[name]],".",Table1[[#This Row],[ext]],"""")</f>
        <v>.incbin "chr/chrSnagger.chr"</v>
      </c>
    </row>
    <row r="308" spans="1:10" x14ac:dyDescent="0.25">
      <c r="A308" s="1" t="s">
        <v>224</v>
      </c>
      <c r="B308" s="2"/>
      <c r="C308" s="2" t="s">
        <v>256</v>
      </c>
      <c r="D308" s="1" t="s">
        <v>355</v>
      </c>
      <c r="E308" s="1" t="s">
        <v>257</v>
      </c>
      <c r="F308" s="1" t="s">
        <v>124</v>
      </c>
      <c r="G308" s="1" t="s">
        <v>257</v>
      </c>
      <c r="H30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bins.append(BinFile(0x38410, 0x400, "chrMantichar", "chr", "chr", "us"))</v>
      </c>
      <c r="I308" s="1" t="str">
        <f>CONCATENATE(Table1[[#This Row],[name]],":")</f>
        <v>chrMantichar:</v>
      </c>
      <c r="J308" s="1" t="str">
        <f>CONCATENATE(".incbin """,Table1[[#This Row],[dir]],"/",Table1[[#This Row],[name]],".",Table1[[#This Row],[ext]],"""")</f>
        <v>.incbin "chr/chrMantichar.chr"</v>
      </c>
    </row>
    <row r="309" spans="1:10" x14ac:dyDescent="0.25">
      <c r="A309" s="1" t="s">
        <v>225</v>
      </c>
      <c r="B309" s="2"/>
      <c r="C309" s="2" t="s">
        <v>256</v>
      </c>
      <c r="D309" s="1" t="s">
        <v>356</v>
      </c>
      <c r="E309" s="1" t="s">
        <v>257</v>
      </c>
      <c r="F309" s="1" t="s">
        <v>124</v>
      </c>
      <c r="G309" s="1" t="s">
        <v>257</v>
      </c>
      <c r="H30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bins.append(BinFile(0x38810, 0x400, "chrRoboZen_A", "chr", "chr", "us"))</v>
      </c>
      <c r="I309" s="1" t="str">
        <f>CONCATENATE(Table1[[#This Row],[name]],":")</f>
        <v>chrRoboZen_A:</v>
      </c>
      <c r="J309" s="1" t="str">
        <f>CONCATENATE(".incbin """,Table1[[#This Row],[dir]],"/",Table1[[#This Row],[name]],".",Table1[[#This Row],[ext]],"""")</f>
        <v>.incbin "chr/chrRoboZen_A.chr"</v>
      </c>
    </row>
    <row r="310" spans="1:10" x14ac:dyDescent="0.25">
      <c r="A310" s="1" t="s">
        <v>226</v>
      </c>
      <c r="B310" s="2"/>
      <c r="C310" s="2" t="s">
        <v>256</v>
      </c>
      <c r="D310" s="1" t="s">
        <v>357</v>
      </c>
      <c r="E310" s="1" t="s">
        <v>257</v>
      </c>
      <c r="F310" s="1" t="s">
        <v>124</v>
      </c>
      <c r="G310" s="1" t="s">
        <v>257</v>
      </c>
      <c r="H31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bins.append(BinFile(0x38C10, 0x400, "chrRoboZen_B", "chr", "chr", "us"))</v>
      </c>
      <c r="I310" s="1" t="str">
        <f>CONCATENATE(Table1[[#This Row],[name]],":")</f>
        <v>chrRoboZen_B:</v>
      </c>
      <c r="J310" s="1" t="str">
        <f>CONCATENATE(".incbin """,Table1[[#This Row],[dir]],"/",Table1[[#This Row],[name]],".",Table1[[#This Row],[ext]],"""")</f>
        <v>.incbin "chr/chrRoboZen_B.chr"</v>
      </c>
    </row>
    <row r="311" spans="1:10" x14ac:dyDescent="0.25">
      <c r="A311" s="1" t="s">
        <v>227</v>
      </c>
      <c r="B311" s="2"/>
      <c r="C311" s="2" t="s">
        <v>256</v>
      </c>
      <c r="D311" s="1" t="s">
        <v>358</v>
      </c>
      <c r="E311" s="1" t="s">
        <v>257</v>
      </c>
      <c r="F311" s="1" t="s">
        <v>124</v>
      </c>
      <c r="G311" s="1" t="s">
        <v>257</v>
      </c>
      <c r="H31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bins.append(BinFile(0x39010, 0x400, "chrRoboZen_C", "chr", "chr", "us"))</v>
      </c>
      <c r="I311" s="1" t="str">
        <f>CONCATENATE(Table1[[#This Row],[name]],":")</f>
        <v>chrRoboZen_C:</v>
      </c>
      <c r="J311" s="1" t="str">
        <f>CONCATENATE(".incbin """,Table1[[#This Row],[dir]],"/",Table1[[#This Row],[name]],".",Table1[[#This Row],[ext]],"""")</f>
        <v>.incbin "chr/chrRoboZen_C.chr"</v>
      </c>
    </row>
    <row r="312" spans="1:10" x14ac:dyDescent="0.25">
      <c r="A312" s="1" t="s">
        <v>228</v>
      </c>
      <c r="B312" s="2"/>
      <c r="C312" s="2" t="s">
        <v>256</v>
      </c>
      <c r="D312" s="1" t="s">
        <v>359</v>
      </c>
      <c r="E312" s="1" t="s">
        <v>257</v>
      </c>
      <c r="F312" s="1" t="s">
        <v>124</v>
      </c>
      <c r="G312" s="1" t="s">
        <v>257</v>
      </c>
      <c r="H31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bins.append(BinFile(0x39410, 0x400, "chrRoboZen_D", "chr", "chr", "us"))</v>
      </c>
      <c r="I312" s="1" t="str">
        <f>CONCATENATE(Table1[[#This Row],[name]],":")</f>
        <v>chrRoboZen_D:</v>
      </c>
      <c r="J312" s="1" t="str">
        <f>CONCATENATE(".incbin """,Table1[[#This Row],[dir]],"/",Table1[[#This Row],[name]],".",Table1[[#This Row],[ext]],"""")</f>
        <v>.incbin "chr/chrRoboZen_D.chr"</v>
      </c>
    </row>
    <row r="313" spans="1:10" x14ac:dyDescent="0.25">
      <c r="A313" s="1" t="s">
        <v>229</v>
      </c>
      <c r="B313" s="2"/>
      <c r="C313" s="2" t="s">
        <v>256</v>
      </c>
      <c r="D313" s="1" t="s">
        <v>360</v>
      </c>
      <c r="E313" s="1" t="s">
        <v>257</v>
      </c>
      <c r="F313" s="1" t="s">
        <v>124</v>
      </c>
      <c r="G313" s="1" t="s">
        <v>257</v>
      </c>
      <c r="H31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bins.append(BinFile(0x39810, 0x400, "chrTrash", "chr", "chr", "us"))</v>
      </c>
      <c r="I313" s="1" t="str">
        <f>CONCATENATE(Table1[[#This Row],[name]],":")</f>
        <v>chrTrash:</v>
      </c>
      <c r="J313" s="1" t="str">
        <f>CONCATENATE(".incbin """,Table1[[#This Row],[dir]],"/",Table1[[#This Row],[name]],".",Table1[[#This Row],[ext]],"""")</f>
        <v>.incbin "chr/chrTrash.chr"</v>
      </c>
    </row>
    <row r="314" spans="1:10" x14ac:dyDescent="0.25">
      <c r="A314" s="1" t="s">
        <v>230</v>
      </c>
      <c r="B314" s="2"/>
      <c r="C314" s="2" t="s">
        <v>256</v>
      </c>
      <c r="D314" s="1" t="s">
        <v>361</v>
      </c>
      <c r="E314" s="1" t="s">
        <v>257</v>
      </c>
      <c r="F314" s="1" t="s">
        <v>124</v>
      </c>
      <c r="G314" s="1" t="s">
        <v>257</v>
      </c>
      <c r="H31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bins.append(BinFile(0x39C10, 0x400, "chrKirikabun", "chr", "chr", "us"))</v>
      </c>
      <c r="I314" s="1" t="str">
        <f>CONCATENATE(Table1[[#This Row],[name]],":")</f>
        <v>chrKirikabun:</v>
      </c>
      <c r="J314" s="1" t="str">
        <f>CONCATENATE(".incbin """,Table1[[#This Row],[dir]],"/",Table1[[#This Row],[name]],".",Table1[[#This Row],[ext]],"""")</f>
        <v>.incbin "chr/chrKirikabun.chr"</v>
      </c>
    </row>
    <row r="315" spans="1:10" x14ac:dyDescent="0.25">
      <c r="A315" s="1" t="s">
        <v>231</v>
      </c>
      <c r="B315" s="2"/>
      <c r="C315" s="2" t="s">
        <v>256</v>
      </c>
      <c r="D315" s="1" t="s">
        <v>362</v>
      </c>
      <c r="E315" s="1" t="s">
        <v>257</v>
      </c>
      <c r="F315" s="1" t="s">
        <v>124</v>
      </c>
      <c r="G315" s="1" t="s">
        <v>257</v>
      </c>
      <c r="H31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bins.append(BinFile(0x3A010, 0x400, "chrTwizzer", "chr", "chr", "us"))</v>
      </c>
      <c r="I315" s="1" t="str">
        <f>CONCATENATE(Table1[[#This Row],[name]],":")</f>
        <v>chrTwizzer:</v>
      </c>
      <c r="J315" s="1" t="str">
        <f>CONCATENATE(".incbin """,Table1[[#This Row],[dir]],"/",Table1[[#This Row],[name]],".",Table1[[#This Row],[ext]],"""")</f>
        <v>.incbin "chr/chrTwizzer.chr"</v>
      </c>
    </row>
    <row r="316" spans="1:10" x14ac:dyDescent="0.25">
      <c r="A316" s="1" t="s">
        <v>232</v>
      </c>
      <c r="B316" s="2"/>
      <c r="C316" s="2" t="s">
        <v>256</v>
      </c>
      <c r="D316" s="1" t="s">
        <v>363</v>
      </c>
      <c r="E316" s="1" t="s">
        <v>257</v>
      </c>
      <c r="F316" s="1" t="s">
        <v>124</v>
      </c>
      <c r="G316" s="1" t="s">
        <v>257</v>
      </c>
      <c r="H31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bins.append(BinFile(0x3A410, 0x400, "chrDOH", "chr", "chr", "us"))</v>
      </c>
      <c r="I316" s="1" t="str">
        <f>CONCATENATE(Table1[[#This Row],[name]],":")</f>
        <v>chrDOH:</v>
      </c>
      <c r="J316" s="1" t="str">
        <f>CONCATENATE(".incbin """,Table1[[#This Row],[dir]],"/",Table1[[#This Row],[name]],".",Table1[[#This Row],[ext]],"""")</f>
        <v>.incbin "chr/chrDOH.chr"</v>
      </c>
    </row>
    <row r="317" spans="1:10" x14ac:dyDescent="0.25">
      <c r="A317" s="1" t="s">
        <v>233</v>
      </c>
      <c r="B317" s="2"/>
      <c r="C317" s="2" t="s">
        <v>256</v>
      </c>
      <c r="D317" s="1" t="s">
        <v>364</v>
      </c>
      <c r="E317" s="1" t="s">
        <v>257</v>
      </c>
      <c r="F317" s="1" t="s">
        <v>124</v>
      </c>
      <c r="G317" s="1" t="s">
        <v>257</v>
      </c>
      <c r="H31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bins.append(BinFile(0x3A810, 0x400, "chrDrunk_A", "chr", "chr", "us"))</v>
      </c>
      <c r="I317" s="1" t="str">
        <f>CONCATENATE(Table1[[#This Row],[name]],":")</f>
        <v>chrDrunk_A:</v>
      </c>
      <c r="J317" s="1" t="str">
        <f>CONCATENATE(".incbin """,Table1[[#This Row],[dir]],"/",Table1[[#This Row],[name]],".",Table1[[#This Row],[ext]],"""")</f>
        <v>.incbin "chr/chrDrunk_A.chr"</v>
      </c>
    </row>
    <row r="318" spans="1:10" x14ac:dyDescent="0.25">
      <c r="A318" s="1" t="s">
        <v>234</v>
      </c>
      <c r="B318" s="2"/>
      <c r="C318" s="2" t="s">
        <v>256</v>
      </c>
      <c r="D318" s="1" t="s">
        <v>365</v>
      </c>
      <c r="E318" s="1" t="s">
        <v>257</v>
      </c>
      <c r="F318" s="1" t="s">
        <v>124</v>
      </c>
      <c r="G318" s="1" t="s">
        <v>257</v>
      </c>
      <c r="H31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bins.append(BinFile(0x3AC10, 0x400, "chrDrunk_B", "chr", "chr", "us"))</v>
      </c>
      <c r="I318" s="1" t="str">
        <f>CONCATENATE(Table1[[#This Row],[name]],":")</f>
        <v>chrDrunk_B:</v>
      </c>
      <c r="J318" s="1" t="str">
        <f>CONCATENATE(".incbin """,Table1[[#This Row],[dir]],"/",Table1[[#This Row],[name]],".",Table1[[#This Row],[ext]],"""")</f>
        <v>.incbin "chr/chrDrunk_B.chr"</v>
      </c>
    </row>
    <row r="319" spans="1:10" x14ac:dyDescent="0.25">
      <c r="A319" s="1" t="s">
        <v>235</v>
      </c>
      <c r="B319" s="2"/>
      <c r="C319" s="2" t="s">
        <v>256</v>
      </c>
      <c r="D319" s="1" t="s">
        <v>366</v>
      </c>
      <c r="E319" s="1" t="s">
        <v>257</v>
      </c>
      <c r="F319" s="1" t="s">
        <v>124</v>
      </c>
      <c r="G319" s="1" t="s">
        <v>257</v>
      </c>
      <c r="H31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bins.append(BinFile(0x3B010, 0x400, "chrSpringit_A", "chr", "chr", "us"))</v>
      </c>
      <c r="I319" s="1" t="str">
        <f>CONCATENATE(Table1[[#This Row],[name]],":")</f>
        <v>chrSpringit_A:</v>
      </c>
      <c r="J319" s="1" t="str">
        <f>CONCATENATE(".incbin """,Table1[[#This Row],[dir]],"/",Table1[[#This Row],[name]],".",Table1[[#This Row],[ext]],"""")</f>
        <v>.incbin "chr/chrSpringit_A.chr"</v>
      </c>
    </row>
    <row r="320" spans="1:10" x14ac:dyDescent="0.25">
      <c r="A320" s="1" t="s">
        <v>236</v>
      </c>
      <c r="B320" s="2"/>
      <c r="C320" s="2" t="s">
        <v>256</v>
      </c>
      <c r="D320" s="1" t="s">
        <v>367</v>
      </c>
      <c r="E320" s="1" t="s">
        <v>257</v>
      </c>
      <c r="F320" s="1" t="s">
        <v>124</v>
      </c>
      <c r="G320" s="1" t="s">
        <v>257</v>
      </c>
      <c r="H32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bins.append(BinFile(0x3B410, 0x400, "chrSpringit_B", "chr", "chr", "us"))</v>
      </c>
      <c r="I320" s="1" t="str">
        <f>CONCATENATE(Table1[[#This Row],[name]],":")</f>
        <v>chrSpringit_B:</v>
      </c>
      <c r="J320" s="1" t="str">
        <f>CONCATENATE(".incbin """,Table1[[#This Row],[dir]],"/",Table1[[#This Row],[name]],".",Table1[[#This Row],[ext]],"""")</f>
        <v>.incbin "chr/chrSpringit_B.chr"</v>
      </c>
    </row>
    <row r="321" spans="1:10" x14ac:dyDescent="0.25">
      <c r="A321" s="1" t="s">
        <v>237</v>
      </c>
      <c r="B321" s="2"/>
      <c r="C321" s="2" t="s">
        <v>256</v>
      </c>
      <c r="D321" s="1" t="s">
        <v>368</v>
      </c>
      <c r="E321" s="1" t="s">
        <v>257</v>
      </c>
      <c r="F321" s="1" t="s">
        <v>124</v>
      </c>
      <c r="G321" s="1" t="s">
        <v>257</v>
      </c>
      <c r="H32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bins.append(BinFile(0x3B810, 0x400, "chrChucker", "chr", "chr", "us"))</v>
      </c>
      <c r="I321" s="1" t="str">
        <f>CONCATENATE(Table1[[#This Row],[name]],":")</f>
        <v>chrChucker:</v>
      </c>
      <c r="J321" s="1" t="str">
        <f>CONCATENATE(".incbin """,Table1[[#This Row],[dir]],"/",Table1[[#This Row],[name]],".",Table1[[#This Row],[ext]],"""")</f>
        <v>.incbin "chr/chrChucker.chr"</v>
      </c>
    </row>
    <row r="322" spans="1:10" x14ac:dyDescent="0.25">
      <c r="A322" s="1" t="s">
        <v>238</v>
      </c>
      <c r="B322" s="2"/>
      <c r="C322" s="2" t="s">
        <v>256</v>
      </c>
      <c r="D322" s="1" t="s">
        <v>369</v>
      </c>
      <c r="E322" s="1" t="s">
        <v>257</v>
      </c>
      <c r="F322" s="1" t="s">
        <v>124</v>
      </c>
      <c r="G322" s="1" t="s">
        <v>257</v>
      </c>
      <c r="H32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bins.append(BinFile(0x3BC10, 0x400, "chrFree6F", "chr", "chr", "us"))</v>
      </c>
      <c r="I322" s="1" t="str">
        <f>CONCATENATE(Table1[[#This Row],[name]],":")</f>
        <v>chrFree6F:</v>
      </c>
      <c r="J322" s="1" t="str">
        <f>CONCATENATE(".incbin """,Table1[[#This Row],[dir]],"/",Table1[[#This Row],[name]],".",Table1[[#This Row],[ext]],"""")</f>
        <v>.incbin "chr/chrFree6F.chr"</v>
      </c>
    </row>
    <row r="323" spans="1:10" x14ac:dyDescent="0.25">
      <c r="A323" s="1" t="s">
        <v>239</v>
      </c>
      <c r="B323" s="2"/>
      <c r="C323" s="2" t="s">
        <v>256</v>
      </c>
      <c r="D323" s="1" t="s">
        <v>370</v>
      </c>
      <c r="E323" s="1" t="s">
        <v>257</v>
      </c>
      <c r="F323" s="1" t="s">
        <v>124</v>
      </c>
      <c r="G323" s="1" t="s">
        <v>257</v>
      </c>
      <c r="H32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bins.append(BinFile(0x3C010, 0x400, "chrRuckus_A", "chr", "chr", "us"))</v>
      </c>
      <c r="I323" s="1" t="str">
        <f>CONCATENATE(Table1[[#This Row],[name]],":")</f>
        <v>chrRuckus_A:</v>
      </c>
      <c r="J323" s="1" t="str">
        <f>CONCATENATE(".incbin """,Table1[[#This Row],[dir]],"/",Table1[[#This Row],[name]],".",Table1[[#This Row],[ext]],"""")</f>
        <v>.incbin "chr/chrRuckus_A.chr"</v>
      </c>
    </row>
    <row r="324" spans="1:10" x14ac:dyDescent="0.25">
      <c r="A324" s="1" t="s">
        <v>240</v>
      </c>
      <c r="B324" s="2"/>
      <c r="C324" s="2" t="s">
        <v>256</v>
      </c>
      <c r="D324" s="1" t="s">
        <v>371</v>
      </c>
      <c r="E324" s="1" t="s">
        <v>257</v>
      </c>
      <c r="F324" s="1" t="s">
        <v>124</v>
      </c>
      <c r="G324" s="1" t="s">
        <v>257</v>
      </c>
      <c r="H32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bins.append(BinFile(0x3C410, 0x400, "chrRuckus_B", "chr", "chr", "us"))</v>
      </c>
      <c r="I324" s="1" t="str">
        <f>CONCATENATE(Table1[[#This Row],[name]],":")</f>
        <v>chrRuckus_B:</v>
      </c>
      <c r="J324" s="1" t="str">
        <f>CONCATENATE(".incbin """,Table1[[#This Row],[dir]],"/",Table1[[#This Row],[name]],".",Table1[[#This Row],[ext]],"""")</f>
        <v>.incbin "chr/chrRuckus_B.chr"</v>
      </c>
    </row>
    <row r="325" spans="1:10" x14ac:dyDescent="0.25">
      <c r="A325" s="1" t="s">
        <v>241</v>
      </c>
      <c r="B325" s="2"/>
      <c r="C325" s="2" t="s">
        <v>256</v>
      </c>
      <c r="D325" s="1" t="s">
        <v>372</v>
      </c>
      <c r="E325" s="1" t="s">
        <v>257</v>
      </c>
      <c r="F325" s="1" t="s">
        <v>124</v>
      </c>
      <c r="G325" s="1" t="s">
        <v>257</v>
      </c>
      <c r="H32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bins.append(BinFile(0x3C810, 0x400, "chrMadMonkey", "chr", "chr", "us"))</v>
      </c>
      <c r="I325" s="1" t="str">
        <f>CONCATENATE(Table1[[#This Row],[name]],":")</f>
        <v>chrMadMonkey:</v>
      </c>
      <c r="J325" s="1" t="str">
        <f>CONCATENATE(".incbin """,Table1[[#This Row],[dir]],"/",Table1[[#This Row],[name]],".",Table1[[#This Row],[ext]],"""")</f>
        <v>.incbin "chr/chrMadMonkey.chr"</v>
      </c>
    </row>
    <row r="326" spans="1:10" x14ac:dyDescent="0.25">
      <c r="A326" s="1" t="s">
        <v>242</v>
      </c>
      <c r="B326" s="2"/>
      <c r="C326" s="2" t="s">
        <v>256</v>
      </c>
      <c r="D326" s="1" t="s">
        <v>373</v>
      </c>
      <c r="E326" s="1" t="s">
        <v>257</v>
      </c>
      <c r="F326" s="1" t="s">
        <v>124</v>
      </c>
      <c r="G326" s="1" t="s">
        <v>257</v>
      </c>
      <c r="H32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bins.append(BinFile(0x3CC10, 0x400, "chrRounder", "chr", "chr", "us"))</v>
      </c>
      <c r="I326" s="1" t="str">
        <f>CONCATENATE(Table1[[#This Row],[name]],":")</f>
        <v>chrRounder:</v>
      </c>
      <c r="J326" s="1" t="str">
        <f>CONCATENATE(".incbin """,Table1[[#This Row],[dir]],"/",Table1[[#This Row],[name]],".",Table1[[#This Row],[ext]],"""")</f>
        <v>.incbin "chr/chrRounder.chr"</v>
      </c>
    </row>
    <row r="327" spans="1:10" x14ac:dyDescent="0.25">
      <c r="A327" s="1" t="s">
        <v>243</v>
      </c>
      <c r="B327" s="2"/>
      <c r="C327" s="2" t="s">
        <v>256</v>
      </c>
      <c r="D327" s="1" t="s">
        <v>374</v>
      </c>
      <c r="E327" s="1" t="s">
        <v>257</v>
      </c>
      <c r="F327" s="1" t="s">
        <v>124</v>
      </c>
      <c r="G327" s="1" t="s">
        <v>257</v>
      </c>
      <c r="H32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bins.append(BinFile(0x3D010, 0x400, "chrRoc_A", "chr", "chr", "us"))</v>
      </c>
      <c r="I327" s="1" t="str">
        <f>CONCATENATE(Table1[[#This Row],[name]],":")</f>
        <v>chrRoc_A:</v>
      </c>
      <c r="J327" s="1" t="str">
        <f>CONCATENATE(".incbin """,Table1[[#This Row],[dir]],"/",Table1[[#This Row],[name]],".",Table1[[#This Row],[ext]],"""")</f>
        <v>.incbin "chr/chrRoc_A.chr"</v>
      </c>
    </row>
    <row r="328" spans="1:10" x14ac:dyDescent="0.25">
      <c r="A328" s="1" t="s">
        <v>244</v>
      </c>
      <c r="B328" s="2"/>
      <c r="C328" s="2" t="s">
        <v>256</v>
      </c>
      <c r="D328" s="1" t="s">
        <v>375</v>
      </c>
      <c r="E328" s="1" t="s">
        <v>257</v>
      </c>
      <c r="F328" s="1" t="s">
        <v>124</v>
      </c>
      <c r="G328" s="1" t="s">
        <v>257</v>
      </c>
      <c r="H32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bins.append(BinFile(0x3D410, 0x400, "chrRoc_B", "chr", "chr", "us"))</v>
      </c>
      <c r="I328" s="1" t="str">
        <f>CONCATENATE(Table1[[#This Row],[name]],":")</f>
        <v>chrRoc_B:</v>
      </c>
      <c r="J328" s="1" t="str">
        <f>CONCATENATE(".incbin """,Table1[[#This Row],[dir]],"/",Table1[[#This Row],[name]],".",Table1[[#This Row],[ext]],"""")</f>
        <v>.incbin "chr/chrRoc_B.chr"</v>
      </c>
    </row>
    <row r="329" spans="1:10" x14ac:dyDescent="0.25">
      <c r="A329" s="1" t="s">
        <v>245</v>
      </c>
      <c r="B329" s="2"/>
      <c r="C329" s="2" t="s">
        <v>256</v>
      </c>
      <c r="D329" s="1" t="s">
        <v>376</v>
      </c>
      <c r="E329" s="1" t="s">
        <v>257</v>
      </c>
      <c r="F329" s="1" t="s">
        <v>124</v>
      </c>
      <c r="G329" s="1" t="s">
        <v>257</v>
      </c>
      <c r="H32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bins.append(BinFile(0x3D810, 0x400, "chrSkullBrothers", "chr", "chr", "us"))</v>
      </c>
      <c r="I329" s="1" t="str">
        <f>CONCATENATE(Table1[[#This Row],[name]],":")</f>
        <v>chrSkullBrothers:</v>
      </c>
      <c r="J329" s="1" t="str">
        <f>CONCATENATE(".incbin """,Table1[[#This Row],[dir]],"/",Table1[[#This Row],[name]],".",Table1[[#This Row],[ext]],"""")</f>
        <v>.incbin "chr/chrSkullBrothers.chr"</v>
      </c>
    </row>
    <row r="330" spans="1:10" x14ac:dyDescent="0.25">
      <c r="A330" s="1" t="s">
        <v>246</v>
      </c>
      <c r="B330" s="2"/>
      <c r="C330" s="2" t="s">
        <v>256</v>
      </c>
      <c r="D330" s="1" t="s">
        <v>377</v>
      </c>
      <c r="E330" s="1" t="s">
        <v>257</v>
      </c>
      <c r="F330" s="1" t="s">
        <v>124</v>
      </c>
      <c r="G330" s="1" t="s">
        <v>257</v>
      </c>
      <c r="H33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bins.append(BinFile(0x3DC10, 0x400, "chrSuperDrunk", "chr", "chr", "us"))</v>
      </c>
      <c r="I330" s="1" t="str">
        <f>CONCATENATE(Table1[[#This Row],[name]],":")</f>
        <v>chrSuperDrunk:</v>
      </c>
      <c r="J330" s="1" t="str">
        <f>CONCATENATE(".incbin """,Table1[[#This Row],[dir]],"/",Table1[[#This Row],[name]],".",Table1[[#This Row],[ext]],"""")</f>
        <v>.incbin "chr/chrSuperDrunk.chr"</v>
      </c>
    </row>
    <row r="331" spans="1:10" x14ac:dyDescent="0.25">
      <c r="A331" s="1" t="s">
        <v>247</v>
      </c>
      <c r="B331" s="2"/>
      <c r="C331" s="2" t="s">
        <v>256</v>
      </c>
      <c r="D331" s="1" t="s">
        <v>378</v>
      </c>
      <c r="E331" s="1" t="s">
        <v>257</v>
      </c>
      <c r="F331" s="1" t="s">
        <v>124</v>
      </c>
      <c r="G331" s="1" t="s">
        <v>257</v>
      </c>
      <c r="H33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bins.append(BinFile(0x3E010, 0x400, "chrFinalSkull_A", "chr", "chr", "us"))</v>
      </c>
      <c r="I331" s="1" t="str">
        <f>CONCATENATE(Table1[[#This Row],[name]],":")</f>
        <v>chrFinalSkull_A:</v>
      </c>
      <c r="J331" s="1" t="str">
        <f>CONCATENATE(".incbin """,Table1[[#This Row],[dir]],"/",Table1[[#This Row],[name]],".",Table1[[#This Row],[ext]],"""")</f>
        <v>.incbin "chr/chrFinalSkull_A.chr"</v>
      </c>
    </row>
    <row r="332" spans="1:10" x14ac:dyDescent="0.25">
      <c r="A332" s="1" t="s">
        <v>248</v>
      </c>
      <c r="B332" s="2"/>
      <c r="C332" s="2" t="s">
        <v>256</v>
      </c>
      <c r="D332" s="1" t="s">
        <v>379</v>
      </c>
      <c r="E332" s="1" t="s">
        <v>257</v>
      </c>
      <c r="F332" s="1" t="s">
        <v>124</v>
      </c>
      <c r="G332" s="1" t="s">
        <v>257</v>
      </c>
      <c r="H33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bins.append(BinFile(0x3E410, 0x400, "chrFinalSkull_B", "chr", "chr", "us"))</v>
      </c>
      <c r="I332" s="1" t="str">
        <f>CONCATENATE(Table1[[#This Row],[name]],":")</f>
        <v>chrFinalSkull_B:</v>
      </c>
      <c r="J332" s="1" t="str">
        <f>CONCATENATE(".incbin """,Table1[[#This Row],[dir]],"/",Table1[[#This Row],[name]],".",Table1[[#This Row],[ext]],"""")</f>
        <v>.incbin "chr/chrFinalSkull_B.chr"</v>
      </c>
    </row>
    <row r="333" spans="1:10" x14ac:dyDescent="0.25">
      <c r="A333" s="1" t="s">
        <v>249</v>
      </c>
      <c r="B333" s="2"/>
      <c r="C333" s="2" t="s">
        <v>256</v>
      </c>
      <c r="D333" s="1" t="s">
        <v>380</v>
      </c>
      <c r="E333" s="1" t="s">
        <v>257</v>
      </c>
      <c r="F333" s="1" t="s">
        <v>124</v>
      </c>
      <c r="G333" s="1" t="s">
        <v>257</v>
      </c>
      <c r="H33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bins.append(BinFile(0x3E810, 0x400, "chrEndingActors_A", "chr", "chr", "us"))</v>
      </c>
      <c r="I333" s="1" t="str">
        <f>CONCATENATE(Table1[[#This Row],[name]],":")</f>
        <v>chrEndingActors_A:</v>
      </c>
      <c r="J333" s="1" t="str">
        <f>CONCATENATE(".incbin """,Table1[[#This Row],[dir]],"/",Table1[[#This Row],[name]],".",Table1[[#This Row],[ext]],"""")</f>
        <v>.incbin "chr/chrEndingActors_A.chr"</v>
      </c>
    </row>
    <row r="334" spans="1:10" x14ac:dyDescent="0.25">
      <c r="A334" s="1" t="s">
        <v>250</v>
      </c>
      <c r="B334" s="2"/>
      <c r="C334" s="2" t="s">
        <v>256</v>
      </c>
      <c r="D334" s="1" t="s">
        <v>381</v>
      </c>
      <c r="E334" s="1" t="s">
        <v>257</v>
      </c>
      <c r="F334" s="1" t="s">
        <v>124</v>
      </c>
      <c r="G334" s="1" t="s">
        <v>257</v>
      </c>
      <c r="H33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bins.append(BinFile(0x3EC10, 0x400, "chrEndingActors_B", "chr", "chr", "us"))</v>
      </c>
      <c r="I334" s="1" t="str">
        <f>CONCATENATE(Table1[[#This Row],[name]],":")</f>
        <v>chrEndingActors_B:</v>
      </c>
      <c r="J334" s="1" t="str">
        <f>CONCATENATE(".incbin """,Table1[[#This Row],[dir]],"/",Table1[[#This Row],[name]],".",Table1[[#This Row],[ext]],"""")</f>
        <v>.incbin "chr/chrEndingActors_B.chr"</v>
      </c>
    </row>
    <row r="335" spans="1:10" x14ac:dyDescent="0.25">
      <c r="A335" s="1" t="s">
        <v>251</v>
      </c>
      <c r="B335" s="2"/>
      <c r="C335" s="2" t="s">
        <v>256</v>
      </c>
      <c r="D335" s="1" t="s">
        <v>382</v>
      </c>
      <c r="E335" s="1" t="s">
        <v>257</v>
      </c>
      <c r="F335" s="1" t="s">
        <v>124</v>
      </c>
      <c r="G335" s="1" t="s">
        <v>257</v>
      </c>
      <c r="H33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bins.append(BinFile(0x3F010, 0x400, "chrTitleScreen_A", "chr", "chr", "us"))</v>
      </c>
      <c r="I335" s="1" t="str">
        <f>CONCATENATE(Table1[[#This Row],[name]],":")</f>
        <v>chrTitleScreen_A:</v>
      </c>
      <c r="J335" s="1" t="str">
        <f>CONCATENATE(".incbin """,Table1[[#This Row],[dir]],"/",Table1[[#This Row],[name]],".",Table1[[#This Row],[ext]],"""")</f>
        <v>.incbin "chr/chrTitleScreen_A.chr"</v>
      </c>
    </row>
    <row r="336" spans="1:10" x14ac:dyDescent="0.25">
      <c r="A336" s="1" t="s">
        <v>252</v>
      </c>
      <c r="B336" s="2"/>
      <c r="C336" s="2" t="s">
        <v>256</v>
      </c>
      <c r="D336" s="1" t="s">
        <v>383</v>
      </c>
      <c r="E336" s="1" t="s">
        <v>257</v>
      </c>
      <c r="F336" s="1" t="s">
        <v>124</v>
      </c>
      <c r="G336" s="1" t="s">
        <v>257</v>
      </c>
      <c r="H336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bins.append(BinFile(0x3F410, 0x400, "chrTitleScreen_B", "chr", "chr", "us"))</v>
      </c>
      <c r="I336" s="1" t="str">
        <f>CONCATENATE(Table1[[#This Row],[name]],":")</f>
        <v>chrTitleScreen_B:</v>
      </c>
      <c r="J336" s="1" t="str">
        <f>CONCATENATE(".incbin """,Table1[[#This Row],[dir]],"/",Table1[[#This Row],[name]],".",Table1[[#This Row],[ext]],"""")</f>
        <v>.incbin "chr/chrTitleScreen_B.chr"</v>
      </c>
    </row>
    <row r="337" spans="1:10" x14ac:dyDescent="0.25">
      <c r="A337" s="1" t="s">
        <v>253</v>
      </c>
      <c r="B337" s="2"/>
      <c r="C337" s="2" t="s">
        <v>256</v>
      </c>
      <c r="D337" s="1" t="s">
        <v>384</v>
      </c>
      <c r="E337" s="1" t="s">
        <v>257</v>
      </c>
      <c r="F337" s="1" t="s">
        <v>124</v>
      </c>
      <c r="G337" s="1" t="s">
        <v>257</v>
      </c>
      <c r="H337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bins.append(BinFile(0x3F810, 0x400, "chrTitleScreen_C", "chr", "chr", "us"))</v>
      </c>
      <c r="I337" s="1" t="str">
        <f>CONCATENATE(Table1[[#This Row],[name]],":")</f>
        <v>chrTitleScreen_C:</v>
      </c>
      <c r="J337" s="1" t="str">
        <f>CONCATENATE(".incbin """,Table1[[#This Row],[dir]],"/",Table1[[#This Row],[name]],".",Table1[[#This Row],[ext]],"""")</f>
        <v>.incbin "chr/chrTitleScreen_C.chr"</v>
      </c>
    </row>
    <row r="338" spans="1:10" x14ac:dyDescent="0.25">
      <c r="A338" s="1" t="s">
        <v>254</v>
      </c>
      <c r="B338" s="2"/>
      <c r="C338" s="2" t="s">
        <v>256</v>
      </c>
      <c r="D338" s="1" t="s">
        <v>385</v>
      </c>
      <c r="E338" s="1" t="s">
        <v>257</v>
      </c>
      <c r="F338" s="1" t="s">
        <v>124</v>
      </c>
      <c r="G338" s="1" t="s">
        <v>257</v>
      </c>
      <c r="H338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bins.append(BinFile(0x3FC10, 0x400, "chrTitleScreen_D", "chr", "chr", "us"))</v>
      </c>
      <c r="I338" s="1" t="str">
        <f>CONCATENATE(Table1[[#This Row],[name]],":")</f>
        <v>chrTitleScreen_D:</v>
      </c>
      <c r="J338" s="1" t="str">
        <f>CONCATENATE(".incbin """,Table1[[#This Row],[dir]],"/",Table1[[#This Row],[name]],".",Table1[[#This Row],[ext]],"""")</f>
        <v>.incbin "chr/chrTitleScreen_D.chr"</v>
      </c>
    </row>
    <row r="339" spans="1:10" x14ac:dyDescent="0.25">
      <c r="A339" s="1" t="s">
        <v>147</v>
      </c>
      <c r="B339" s="2"/>
      <c r="C339" s="2" t="s">
        <v>256</v>
      </c>
      <c r="D339" s="1" t="s">
        <v>386</v>
      </c>
      <c r="E339" s="1" t="s">
        <v>257</v>
      </c>
      <c r="F339" s="1" t="s">
        <v>126</v>
      </c>
      <c r="G339" s="1" t="s">
        <v>257</v>
      </c>
      <c r="H339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bins.append(BinFile(0x25010, 0x400, "chrGiantTower_BA_JP", "chr", "chr", "jp"))</v>
      </c>
      <c r="I339" s="1" t="str">
        <f>CONCATENATE(Table1[[#This Row],[name]],":")</f>
        <v>chrGiantTower_BA_JP:</v>
      </c>
      <c r="J339" s="1" t="str">
        <f>CONCATENATE(".incbin """,Table1[[#This Row],[dir]],"/",Table1[[#This Row],[name]],".",Table1[[#This Row],[ext]],"""")</f>
        <v>.incbin "chr/chrGiantTower_BA_JP.chr"</v>
      </c>
    </row>
    <row r="340" spans="1:10" x14ac:dyDescent="0.25">
      <c r="A340" s="1" t="s">
        <v>161</v>
      </c>
      <c r="B340" s="2"/>
      <c r="C340" s="2" t="s">
        <v>256</v>
      </c>
      <c r="D340" s="1" t="s">
        <v>387</v>
      </c>
      <c r="E340" s="1" t="s">
        <v>257</v>
      </c>
      <c r="F340" s="1" t="s">
        <v>126</v>
      </c>
      <c r="G340" s="1" t="s">
        <v>257</v>
      </c>
      <c r="H340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bins.append(BinFile(0x28810, 0x400, "chrShiningLake_BA_JP", "chr", "chr", "jp"))</v>
      </c>
      <c r="I340" s="1" t="str">
        <f>CONCATENATE(Table1[[#This Row],[name]],":")</f>
        <v>chrShiningLake_BA_JP:</v>
      </c>
      <c r="J340" s="1" t="str">
        <f>CONCATENATE(".incbin """,Table1[[#This Row],[dir]],"/",Table1[[#This Row],[name]],".",Table1[[#This Row],[ext]],"""")</f>
        <v>.incbin "chr/chrShiningLake_BA_JP.chr"</v>
      </c>
    </row>
    <row r="341" spans="1:10" x14ac:dyDescent="0.25">
      <c r="A341" s="1" t="s">
        <v>180</v>
      </c>
      <c r="B341" s="2"/>
      <c r="C341" s="2" t="s">
        <v>256</v>
      </c>
      <c r="D341" s="1" t="s">
        <v>388</v>
      </c>
      <c r="E341" s="1" t="s">
        <v>257</v>
      </c>
      <c r="F341" s="1" t="s">
        <v>126</v>
      </c>
      <c r="G341" s="1" t="s">
        <v>257</v>
      </c>
      <c r="H341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bins.append(BinFile(0x2D410, 0x400, "chrBigReward_B_JP", "chr", "chr", "jp"))</v>
      </c>
      <c r="I341" s="1" t="str">
        <f>CONCATENATE(Table1[[#This Row],[name]],":")</f>
        <v>chrBigReward_B_JP:</v>
      </c>
      <c r="J341" s="1" t="str">
        <f>CONCATENATE(".incbin """,Table1[[#This Row],[dir]],"/",Table1[[#This Row],[name]],".",Table1[[#This Row],[ext]],"""")</f>
        <v>.incbin "chr/chrBigReward_B_JP.chr"</v>
      </c>
    </row>
    <row r="342" spans="1:10" x14ac:dyDescent="0.25">
      <c r="A342" s="1" t="s">
        <v>251</v>
      </c>
      <c r="B342" s="2"/>
      <c r="C342" s="2" t="s">
        <v>256</v>
      </c>
      <c r="D342" s="1" t="s">
        <v>389</v>
      </c>
      <c r="E342" s="1" t="s">
        <v>257</v>
      </c>
      <c r="F342" s="1" t="s">
        <v>126</v>
      </c>
      <c r="G342" s="1" t="s">
        <v>257</v>
      </c>
      <c r="H342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bins.append(BinFile(0x3F010, 0x400, "chrTitleScreen_A_JP", "chr", "chr", "jp"))</v>
      </c>
      <c r="I342" s="1" t="str">
        <f>CONCATENATE(Table1[[#This Row],[name]],":")</f>
        <v>chrTitleScreen_A_JP:</v>
      </c>
      <c r="J342" s="1" t="str">
        <f>CONCATENATE(".incbin """,Table1[[#This Row],[dir]],"/",Table1[[#This Row],[name]],".",Table1[[#This Row],[ext]],"""")</f>
        <v>.incbin "chr/chrTitleScreen_A_JP.chr"</v>
      </c>
    </row>
    <row r="343" spans="1:10" x14ac:dyDescent="0.25">
      <c r="A343" s="1" t="s">
        <v>252</v>
      </c>
      <c r="B343" s="2"/>
      <c r="C343" s="2" t="s">
        <v>256</v>
      </c>
      <c r="D343" s="1" t="s">
        <v>390</v>
      </c>
      <c r="E343" s="1" t="s">
        <v>257</v>
      </c>
      <c r="F343" s="1" t="s">
        <v>126</v>
      </c>
      <c r="G343" s="1" t="s">
        <v>257</v>
      </c>
      <c r="H343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bins.append(BinFile(0x3F410, 0x400, "chrTitleScreen_B_JP", "chr", "chr", "jp"))</v>
      </c>
      <c r="I343" s="1" t="str">
        <f>CONCATENATE(Table1[[#This Row],[name]],":")</f>
        <v>chrTitleScreen_B_JP:</v>
      </c>
      <c r="J343" s="1" t="str">
        <f>CONCATENATE(".incbin """,Table1[[#This Row],[dir]],"/",Table1[[#This Row],[name]],".",Table1[[#This Row],[ext]],"""")</f>
        <v>.incbin "chr/chrTitleScreen_B_JP.chr"</v>
      </c>
    </row>
    <row r="344" spans="1:10" x14ac:dyDescent="0.25">
      <c r="A344" s="1" t="s">
        <v>253</v>
      </c>
      <c r="B344" s="2"/>
      <c r="C344" s="2" t="s">
        <v>256</v>
      </c>
      <c r="D344" s="1" t="s">
        <v>391</v>
      </c>
      <c r="E344" s="1" t="s">
        <v>257</v>
      </c>
      <c r="F344" s="1" t="s">
        <v>126</v>
      </c>
      <c r="G344" s="1" t="s">
        <v>257</v>
      </c>
      <c r="H344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bins.append(BinFile(0x3F810, 0x400, "chrTitleScreen_C_JP", "chr", "chr", "jp"))</v>
      </c>
      <c r="I344" s="1" t="str">
        <f>CONCATENATE(Table1[[#This Row],[name]],":")</f>
        <v>chrTitleScreen_C_JP:</v>
      </c>
      <c r="J344" s="1" t="str">
        <f>CONCATENATE(".incbin """,Table1[[#This Row],[dir]],"/",Table1[[#This Row],[name]],".",Table1[[#This Row],[ext]],"""")</f>
        <v>.incbin "chr/chrTitleScreen_C_JP.chr"</v>
      </c>
    </row>
    <row r="345" spans="1:10" x14ac:dyDescent="0.25">
      <c r="A345" s="1" t="s">
        <v>254</v>
      </c>
      <c r="B345" s="2"/>
      <c r="C345" s="2" t="s">
        <v>256</v>
      </c>
      <c r="D345" s="1" t="s">
        <v>392</v>
      </c>
      <c r="E345" s="1" t="s">
        <v>257</v>
      </c>
      <c r="F345" s="1" t="s">
        <v>126</v>
      </c>
      <c r="G345" s="1" t="s">
        <v>257</v>
      </c>
      <c r="H345" s="1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bins.append(BinFile(0x3FC10, 0x400, "chrTitleScreen_D_JP", "chr", "chr", "jp"))</v>
      </c>
      <c r="I345" s="1" t="str">
        <f>CONCATENATE(Table1[[#This Row],[name]],":")</f>
        <v>chrTitleScreen_D_JP:</v>
      </c>
      <c r="J345" s="1" t="str">
        <f>CONCATENATE(".incbin """,Table1[[#This Row],[dir]],"/",Table1[[#This Row],[name]],".",Table1[[#This Row],[ext]],"""")</f>
        <v>.incbin "chr/chrTitleScreen_D_JP.chr"</v>
      </c>
    </row>
    <row r="346" spans="1:10" x14ac:dyDescent="0.25">
      <c r="A346" s="3" t="s">
        <v>599</v>
      </c>
      <c r="B346" s="2" t="s">
        <v>489</v>
      </c>
      <c r="C346" s="3" t="str">
        <f>DEC2HEX(HEX2DEC(Table1[[#This Row],[end]])-HEX2DEC(Table1[[#This Row],[start]]))</f>
        <v>58</v>
      </c>
      <c r="D346" s="1" t="s">
        <v>695</v>
      </c>
      <c r="E346" s="1" t="s">
        <v>121</v>
      </c>
      <c r="F346" s="1" t="s">
        <v>124</v>
      </c>
      <c r="G346" s="1" t="s">
        <v>694</v>
      </c>
      <c r="H346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bins.append(BinFile(0x001FB8, 0x58, "fill00", "bin", "filler", "us"))</v>
      </c>
      <c r="I346" s="3" t="str">
        <f>CONCATENATE(Table1[[#This Row],[name]],":")</f>
        <v>fill00:</v>
      </c>
      <c r="J346" s="3" t="str">
        <f>CONCATENATE(".incbin """,Table1[[#This Row],[dir]],"/",Table1[[#This Row],[name]],".",Table1[[#This Row],[ext]],"""")</f>
        <v>.incbin "filler/fill00.bin"</v>
      </c>
    </row>
    <row r="347" spans="1:10" x14ac:dyDescent="0.25">
      <c r="A347" s="3" t="s">
        <v>599</v>
      </c>
      <c r="B347" s="2" t="s">
        <v>489</v>
      </c>
      <c r="C347" s="3" t="str">
        <f>DEC2HEX(HEX2DEC(Table1[[#This Row],[end]])-HEX2DEC(Table1[[#This Row],[start]]))</f>
        <v>58</v>
      </c>
      <c r="D347" s="1" t="s">
        <v>696</v>
      </c>
      <c r="E347" s="1" t="s">
        <v>121</v>
      </c>
      <c r="F347" s="1" t="s">
        <v>126</v>
      </c>
      <c r="G347" s="1" t="s">
        <v>694</v>
      </c>
      <c r="H347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bins.append(BinFile(0x001FB8, 0x58, "fill00_JP", "bin", "filler", "jp"))</v>
      </c>
      <c r="I347" s="3" t="str">
        <f>CONCATENATE(Table1[[#This Row],[name]],":")</f>
        <v>fill00_JP:</v>
      </c>
      <c r="J347" s="3" t="str">
        <f>CONCATENATE(".incbin """,Table1[[#This Row],[dir]],"/",Table1[[#This Row],[name]],".",Table1[[#This Row],[ext]],"""")</f>
        <v>.incbin "filler/fill00_JP.bin"</v>
      </c>
    </row>
    <row r="348" spans="1:10" x14ac:dyDescent="0.25">
      <c r="A348" s="3" t="s">
        <v>693</v>
      </c>
      <c r="B348" s="2" t="s">
        <v>486</v>
      </c>
      <c r="C348" s="3" t="str">
        <f>DEC2HEX(HEX2DEC(Table1[[#This Row],[end]])-HEX2DEC(Table1[[#This Row],[start]]))</f>
        <v>237</v>
      </c>
      <c r="D348" s="1" t="s">
        <v>697</v>
      </c>
      <c r="E348" s="1" t="s">
        <v>121</v>
      </c>
      <c r="F348" s="1" t="s">
        <v>126</v>
      </c>
      <c r="G348" s="1" t="s">
        <v>694</v>
      </c>
      <c r="H348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bins.append(BinFile(0x003DD9, 0x237, "fill01_JP", "bin", "filler", "jp"))</v>
      </c>
      <c r="I348" s="3" t="str">
        <f>CONCATENATE(Table1[[#This Row],[name]],":")</f>
        <v>fill01_JP:</v>
      </c>
      <c r="J348" s="3" t="str">
        <f>CONCATENATE(".incbin """,Table1[[#This Row],[dir]],"/",Table1[[#This Row],[name]],".",Table1[[#This Row],[ext]],"""")</f>
        <v>.incbin "filler/fill01_JP.bin"</v>
      </c>
    </row>
    <row r="349" spans="1:10" x14ac:dyDescent="0.25">
      <c r="A349" s="3" t="s">
        <v>593</v>
      </c>
      <c r="B349" s="2" t="s">
        <v>563</v>
      </c>
      <c r="C349" s="3" t="str">
        <f>DEC2HEX(HEX2DEC(Table1[[#This Row],[end]])-HEX2DEC(Table1[[#This Row],[start]]))</f>
        <v>E7</v>
      </c>
      <c r="D349" s="1" t="s">
        <v>698</v>
      </c>
      <c r="E349" s="1" t="s">
        <v>121</v>
      </c>
      <c r="F349" s="1" t="s">
        <v>126</v>
      </c>
      <c r="G349" s="1" t="s">
        <v>694</v>
      </c>
      <c r="H349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bins.append(BinFile(0x005F29, 0xE7, "fill02_JP", "bin", "filler", "jp"))</v>
      </c>
      <c r="I349" s="3" t="str">
        <f>CONCATENATE(Table1[[#This Row],[name]],":")</f>
        <v>fill02_JP:</v>
      </c>
      <c r="J349" s="3" t="str">
        <f>CONCATENATE(".incbin """,Table1[[#This Row],[dir]],"/",Table1[[#This Row],[name]],".",Table1[[#This Row],[ext]],"""")</f>
        <v>.incbin "filler/fill02_JP.bin"</v>
      </c>
    </row>
    <row r="350" spans="1:10" x14ac:dyDescent="0.25">
      <c r="A350" s="3" t="s">
        <v>605</v>
      </c>
      <c r="B350" s="2" t="s">
        <v>712</v>
      </c>
      <c r="C350" s="3" t="str">
        <f>DEC2HEX(HEX2DEC(Table1[[#This Row],[end]])-HEX2DEC(Table1[[#This Row],[start]]))</f>
        <v>31</v>
      </c>
      <c r="D350" s="1" t="s">
        <v>699</v>
      </c>
      <c r="E350" s="1" t="s">
        <v>121</v>
      </c>
      <c r="F350" s="1" t="s">
        <v>126</v>
      </c>
      <c r="G350" s="1" t="s">
        <v>694</v>
      </c>
      <c r="H350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bins.append(BinFile(0x007FDF, 0x31, "fill03_JP", "bin", "filler", "jp"))</v>
      </c>
      <c r="I350" s="3" t="str">
        <f>CONCATENATE(Table1[[#This Row],[name]],":")</f>
        <v>fill03_JP:</v>
      </c>
      <c r="J350" s="3" t="str">
        <f>CONCATENATE(".incbin """,Table1[[#This Row],[dir]],"/",Table1[[#This Row],[name]],".",Table1[[#This Row],[ext]],"""")</f>
        <v>.incbin "filler/fill03_JP.bin"</v>
      </c>
    </row>
    <row r="351" spans="1:10" x14ac:dyDescent="0.25">
      <c r="A351" s="3" t="s">
        <v>713</v>
      </c>
      <c r="B351" s="2" t="s">
        <v>714</v>
      </c>
      <c r="C351" s="3" t="str">
        <f>DEC2HEX(HEX2DEC(Table1[[#This Row],[end]])-HEX2DEC(Table1[[#This Row],[start]]))</f>
        <v>2</v>
      </c>
      <c r="D351" s="1" t="s">
        <v>701</v>
      </c>
      <c r="E351" s="1" t="s">
        <v>121</v>
      </c>
      <c r="F351" s="1" t="s">
        <v>124</v>
      </c>
      <c r="G351" s="1" t="s">
        <v>694</v>
      </c>
      <c r="H351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bins.append(BinFile(0x00A00E, 0x2, "fill04", "bin", "filler", "us"))</v>
      </c>
      <c r="I351" s="3" t="str">
        <f>CONCATENATE(Table1[[#This Row],[name]],":")</f>
        <v>fill04:</v>
      </c>
      <c r="J351" s="3" t="str">
        <f>CONCATENATE(".incbin """,Table1[[#This Row],[dir]],"/",Table1[[#This Row],[name]],".",Table1[[#This Row],[ext]],"""")</f>
        <v>.incbin "filler/fill04.bin"</v>
      </c>
    </row>
    <row r="352" spans="1:10" x14ac:dyDescent="0.25">
      <c r="A352" s="3" t="s">
        <v>713</v>
      </c>
      <c r="B352" s="2" t="s">
        <v>714</v>
      </c>
      <c r="C352" s="3" t="str">
        <f>DEC2HEX(HEX2DEC(Table1[[#This Row],[end]])-HEX2DEC(Table1[[#This Row],[start]]))</f>
        <v>2</v>
      </c>
      <c r="D352" s="1" t="s">
        <v>700</v>
      </c>
      <c r="E352" s="1" t="s">
        <v>121</v>
      </c>
      <c r="F352" s="1" t="s">
        <v>126</v>
      </c>
      <c r="G352" s="1" t="s">
        <v>694</v>
      </c>
      <c r="H352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bins.append(BinFile(0x00A00E, 0x2, "fill04_JP", "bin", "filler", "jp"))</v>
      </c>
      <c r="I352" s="3" t="str">
        <f>CONCATENATE(Table1[[#This Row],[name]],":")</f>
        <v>fill04_JP:</v>
      </c>
      <c r="J352" s="3" t="str">
        <f>CONCATENATE(".incbin """,Table1[[#This Row],[dir]],"/",Table1[[#This Row],[name]],".",Table1[[#This Row],[ext]],"""")</f>
        <v>.incbin "filler/fill04_JP.bin"</v>
      </c>
    </row>
    <row r="353" spans="1:10" x14ac:dyDescent="0.25">
      <c r="A353" s="3" t="s">
        <v>715</v>
      </c>
      <c r="B353" s="2" t="s">
        <v>716</v>
      </c>
      <c r="C353" s="3" t="str">
        <f>DEC2HEX(HEX2DEC(Table1[[#This Row],[end]])-HEX2DEC(Table1[[#This Row],[start]]))</f>
        <v>5</v>
      </c>
      <c r="D353" s="1" t="s">
        <v>702</v>
      </c>
      <c r="E353" s="1" t="s">
        <v>121</v>
      </c>
      <c r="F353" s="1" t="s">
        <v>126</v>
      </c>
      <c r="G353" s="1" t="s">
        <v>694</v>
      </c>
      <c r="H353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bins.append(BinFile(0x00C00B, 0x5, "fill05_JP", "bin", "filler", "jp"))</v>
      </c>
      <c r="I353" s="3" t="str">
        <f>CONCATENATE(Table1[[#This Row],[name]],":")</f>
        <v>fill05_JP:</v>
      </c>
      <c r="J353" s="3" t="str">
        <f>CONCATENATE(".incbin """,Table1[[#This Row],[dir]],"/",Table1[[#This Row],[name]],".",Table1[[#This Row],[ext]],"""")</f>
        <v>.incbin "filler/fill05_JP.bin"</v>
      </c>
    </row>
    <row r="354" spans="1:10" x14ac:dyDescent="0.25">
      <c r="A354" s="3" t="s">
        <v>717</v>
      </c>
      <c r="B354" s="2" t="s">
        <v>718</v>
      </c>
      <c r="C354" s="3" t="str">
        <f>DEC2HEX(HEX2DEC(Table1[[#This Row],[end]])-HEX2DEC(Table1[[#This Row],[start]]))</f>
        <v>45</v>
      </c>
      <c r="D354" s="1" t="s">
        <v>703</v>
      </c>
      <c r="E354" s="1" t="s">
        <v>121</v>
      </c>
      <c r="F354" s="1" t="s">
        <v>126</v>
      </c>
      <c r="G354" s="1" t="s">
        <v>694</v>
      </c>
      <c r="H354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bins.append(BinFile(0x011FCB, 0x45, "fill08_JP", "bin", "filler", "jp"))</v>
      </c>
      <c r="I354" s="3" t="str">
        <f>CONCATENATE(Table1[[#This Row],[name]],":")</f>
        <v>fill08_JP:</v>
      </c>
      <c r="J354" s="3" t="str">
        <f>CONCATENATE(".incbin """,Table1[[#This Row],[dir]],"/",Table1[[#This Row],[name]],".",Table1[[#This Row],[ext]],"""")</f>
        <v>.incbin "filler/fill08_JP.bin"</v>
      </c>
    </row>
    <row r="355" spans="1:10" x14ac:dyDescent="0.25">
      <c r="A355" s="3" t="s">
        <v>719</v>
      </c>
      <c r="B355" s="2" t="s">
        <v>718</v>
      </c>
      <c r="C355" s="3" t="str">
        <f>DEC2HEX(HEX2DEC(Table1[[#This Row],[end]])-HEX2DEC(Table1[[#This Row],[start]]))</f>
        <v>50</v>
      </c>
      <c r="D355" s="1" t="s">
        <v>704</v>
      </c>
      <c r="E355" s="1" t="s">
        <v>121</v>
      </c>
      <c r="F355" s="1" t="s">
        <v>124</v>
      </c>
      <c r="G355" s="1" t="s">
        <v>694</v>
      </c>
      <c r="H355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bins.append(BinFile(0x011FC0, 0x50, "fill08", "bin", "filler", "us"))</v>
      </c>
      <c r="I355" s="3" t="str">
        <f>CONCATENATE(Table1[[#This Row],[name]],":")</f>
        <v>fill08:</v>
      </c>
      <c r="J355" s="3" t="str">
        <f>CONCATENATE(".incbin """,Table1[[#This Row],[dir]],"/",Table1[[#This Row],[name]],".",Table1[[#This Row],[ext]],"""")</f>
        <v>.incbin "filler/fill08.bin"</v>
      </c>
    </row>
    <row r="356" spans="1:10" x14ac:dyDescent="0.25">
      <c r="A356" s="3" t="s">
        <v>720</v>
      </c>
      <c r="B356" s="2" t="s">
        <v>721</v>
      </c>
      <c r="C356" s="3" t="str">
        <f>DEC2HEX(HEX2DEC(Table1[[#This Row],[end]])-HEX2DEC(Table1[[#This Row],[start]]))</f>
        <v>B8</v>
      </c>
      <c r="D356" s="1" t="s">
        <v>705</v>
      </c>
      <c r="E356" s="1" t="s">
        <v>121</v>
      </c>
      <c r="F356" s="1" t="s">
        <v>126</v>
      </c>
      <c r="G356" s="1" t="s">
        <v>694</v>
      </c>
      <c r="H356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bins.append(BinFile(0x013F58, 0xB8, "fill09_JP", "bin", "filler", "jp"))</v>
      </c>
      <c r="I356" s="3" t="str">
        <f>CONCATENATE(Table1[[#This Row],[name]],":")</f>
        <v>fill09_JP:</v>
      </c>
      <c r="J356" s="3" t="str">
        <f>CONCATENATE(".incbin """,Table1[[#This Row],[dir]],"/",Table1[[#This Row],[name]],".",Table1[[#This Row],[ext]],"""")</f>
        <v>.incbin "filler/fill09_JP.bin"</v>
      </c>
    </row>
    <row r="357" spans="1:10" x14ac:dyDescent="0.25">
      <c r="A357" s="3" t="s">
        <v>722</v>
      </c>
      <c r="B357" s="2" t="s">
        <v>723</v>
      </c>
      <c r="C357" s="3" t="str">
        <f>DEC2HEX(HEX2DEC(Table1[[#This Row],[end]])-HEX2DEC(Table1[[#This Row],[start]]))</f>
        <v>4F</v>
      </c>
      <c r="D357" s="1" t="s">
        <v>706</v>
      </c>
      <c r="E357" s="1" t="s">
        <v>121</v>
      </c>
      <c r="F357" s="1" t="s">
        <v>126</v>
      </c>
      <c r="G357" s="1" t="s">
        <v>694</v>
      </c>
      <c r="H357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bins.append(BinFile(0x015FC1, 0x4F, "fill0A_JP", "bin", "filler", "jp"))</v>
      </c>
      <c r="I357" s="3" t="str">
        <f>CONCATENATE(Table1[[#This Row],[name]],":")</f>
        <v>fill0A_JP:</v>
      </c>
      <c r="J357" s="3" t="str">
        <f>CONCATENATE(".incbin """,Table1[[#This Row],[dir]],"/",Table1[[#This Row],[name]],".",Table1[[#This Row],[ext]],"""")</f>
        <v>.incbin "filler/fill0A_JP.bin"</v>
      </c>
    </row>
    <row r="358" spans="1:10" x14ac:dyDescent="0.25">
      <c r="A358" s="3">
        <v>18004</v>
      </c>
      <c r="B358" s="2" t="s">
        <v>724</v>
      </c>
      <c r="C358" s="3" t="str">
        <f>DEC2HEX(HEX2DEC(Table1[[#This Row],[end]])-HEX2DEC(Table1[[#This Row],[start]]))</f>
        <v>C</v>
      </c>
      <c r="D358" s="1" t="s">
        <v>707</v>
      </c>
      <c r="E358" s="1" t="s">
        <v>121</v>
      </c>
      <c r="F358" s="1" t="s">
        <v>126</v>
      </c>
      <c r="G358" s="1" t="s">
        <v>694</v>
      </c>
      <c r="H358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bins.append(BinFile(0x18004, 0xC, "fill0B_JP", "bin", "filler", "jp"))</v>
      </c>
      <c r="I358" s="3" t="str">
        <f>CONCATENATE(Table1[[#This Row],[name]],":")</f>
        <v>fill0B_JP:</v>
      </c>
      <c r="J358" s="3" t="str">
        <f>CONCATENATE(".incbin """,Table1[[#This Row],[dir]],"/",Table1[[#This Row],[name]],".",Table1[[#This Row],[ext]],"""")</f>
        <v>.incbin "filler/fill0B_JP.bin"</v>
      </c>
    </row>
    <row r="359" spans="1:10" x14ac:dyDescent="0.25">
      <c r="A359" s="3" t="s">
        <v>725</v>
      </c>
      <c r="B359" s="2" t="s">
        <v>726</v>
      </c>
      <c r="C359" s="3" t="str">
        <f>DEC2HEX(HEX2DEC(Table1[[#This Row],[end]])-HEX2DEC(Table1[[#This Row],[start]]))</f>
        <v>66</v>
      </c>
      <c r="D359" s="1" t="s">
        <v>708</v>
      </c>
      <c r="E359" s="1" t="s">
        <v>121</v>
      </c>
      <c r="F359" s="1" t="s">
        <v>126</v>
      </c>
      <c r="G359" s="1" t="s">
        <v>694</v>
      </c>
      <c r="H359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bins.append(BinFile(0x019FAA, 0x66, "fill0C_JP", "bin", "filler", "jp"))</v>
      </c>
      <c r="I359" s="3" t="str">
        <f>CONCATENATE(Table1[[#This Row],[name]],":")</f>
        <v>fill0C_JP:</v>
      </c>
      <c r="J359" s="3" t="str">
        <f>CONCATENATE(".incbin """,Table1[[#This Row],[dir]],"/",Table1[[#This Row],[name]],".",Table1[[#This Row],[ext]],"""")</f>
        <v>.incbin "filler/fill0C_JP.bin"</v>
      </c>
    </row>
    <row r="360" spans="1:10" x14ac:dyDescent="0.25">
      <c r="A360" s="2" t="s">
        <v>732</v>
      </c>
      <c r="B360" s="2" t="s">
        <v>726</v>
      </c>
      <c r="C360" s="3" t="str">
        <f>DEC2HEX(HEX2DEC(Table1[[#This Row],[end]])-HEX2DEC(Table1[[#This Row],[start]]))</f>
        <v>1B0</v>
      </c>
      <c r="D360" s="1" t="s">
        <v>709</v>
      </c>
      <c r="E360" s="1" t="s">
        <v>121</v>
      </c>
      <c r="F360" s="1" t="s">
        <v>124</v>
      </c>
      <c r="G360" s="1" t="s">
        <v>694</v>
      </c>
      <c r="H360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bins.append(BinFile(0x019E60, 0x1B0, "fill0C", "bin", "filler", "us"))</v>
      </c>
      <c r="I360" s="3" t="str">
        <f>CONCATENATE(Table1[[#This Row],[name]],":")</f>
        <v>fill0C:</v>
      </c>
      <c r="J360" s="3" t="str">
        <f>CONCATENATE(".incbin """,Table1[[#This Row],[dir]],"/",Table1[[#This Row],[name]],".",Table1[[#This Row],[ext]],"""")</f>
        <v>.incbin "filler/fill0C.bin"</v>
      </c>
    </row>
    <row r="361" spans="1:10" x14ac:dyDescent="0.25">
      <c r="A361" s="3" t="s">
        <v>727</v>
      </c>
      <c r="B361" s="2" t="s">
        <v>728</v>
      </c>
      <c r="C361" s="3" t="str">
        <f>DEC2HEX(HEX2DEC(Table1[[#This Row],[end]])-HEX2DEC(Table1[[#This Row],[start]]))</f>
        <v>1EC</v>
      </c>
      <c r="D361" s="1" t="s">
        <v>710</v>
      </c>
      <c r="E361" s="1" t="s">
        <v>121</v>
      </c>
      <c r="F361" s="1" t="s">
        <v>126</v>
      </c>
      <c r="G361" s="1" t="s">
        <v>694</v>
      </c>
      <c r="H361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bins.append(BinFile(0x01BE24, 0x1EC, "fill0D_JP", "bin", "filler", "jp"))</v>
      </c>
      <c r="I361" s="3" t="str">
        <f>CONCATENATE(Table1[[#This Row],[name]],":")</f>
        <v>fill0D_JP:</v>
      </c>
      <c r="J361" s="3" t="str">
        <f>CONCATENATE(".incbin """,Table1[[#This Row],[dir]],"/",Table1[[#This Row],[name]],".",Table1[[#This Row],[ext]],"""")</f>
        <v>.incbin "filler/fill0D_JP.bin"</v>
      </c>
    </row>
    <row r="362" spans="1:10" x14ac:dyDescent="0.25">
      <c r="A362" s="3" t="s">
        <v>729</v>
      </c>
      <c r="B362" s="2" t="s">
        <v>730</v>
      </c>
      <c r="C362" s="3" t="str">
        <f>DEC2HEX(HEX2DEC(Table1[[#This Row],[end]])-HEX2DEC(Table1[[#This Row],[start]]))</f>
        <v>6FD</v>
      </c>
      <c r="D362" s="1" t="s">
        <v>739</v>
      </c>
      <c r="E362" s="1" t="s">
        <v>121</v>
      </c>
      <c r="F362" s="1" t="s">
        <v>126</v>
      </c>
      <c r="G362" s="1" t="s">
        <v>694</v>
      </c>
      <c r="H362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bins.append(BinFile(0x01D913, 0x6FD, "fill0E_Tracks_JP", "bin", "filler", "jp"))</v>
      </c>
      <c r="I362" s="3" t="str">
        <f>CONCATENATE(Table1[[#This Row],[name]],":")</f>
        <v>fill0E_Tracks_JP:</v>
      </c>
      <c r="J362" s="3" t="str">
        <f>CONCATENATE(".incbin """,Table1[[#This Row],[dir]],"/",Table1[[#This Row],[name]],".",Table1[[#This Row],[ext]],"""")</f>
        <v>.incbin "filler/fill0E_Tracks_JP.bin"</v>
      </c>
    </row>
    <row r="363" spans="1:10" x14ac:dyDescent="0.25">
      <c r="A363" s="3" t="s">
        <v>729</v>
      </c>
      <c r="B363" s="2" t="s">
        <v>730</v>
      </c>
      <c r="C363" s="3" t="str">
        <f>DEC2HEX(HEX2DEC(Table1[[#This Row],[end]])-HEX2DEC(Table1[[#This Row],[start]]))</f>
        <v>6FD</v>
      </c>
      <c r="D363" s="1" t="s">
        <v>738</v>
      </c>
      <c r="E363" s="1" t="s">
        <v>121</v>
      </c>
      <c r="F363" s="1" t="s">
        <v>124</v>
      </c>
      <c r="G363" s="1" t="s">
        <v>694</v>
      </c>
      <c r="H363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bins.append(BinFile(0x01D913, 0x6FD, "fill0E_Tracks", "bin", "filler", "us"))</v>
      </c>
      <c r="I363" s="3" t="str">
        <f>CONCATENATE(Table1[[#This Row],[name]],":")</f>
        <v>fill0E_Tracks:</v>
      </c>
      <c r="J363" s="3" t="str">
        <f>CONCATENATE(".incbin """,Table1[[#This Row],[dir]],"/",Table1[[#This Row],[name]],".",Table1[[#This Row],[ext]],"""")</f>
        <v>.incbin "filler/fill0E_Tracks.bin"</v>
      </c>
    </row>
    <row r="364" spans="1:10" x14ac:dyDescent="0.25">
      <c r="A364" s="3" t="s">
        <v>734</v>
      </c>
      <c r="B364" s="2" t="s">
        <v>735</v>
      </c>
      <c r="C364" s="3" t="str">
        <f>DEC2HEX(HEX2DEC(Table1[[#This Row],[end]])-HEX2DEC(Table1[[#This Row],[start]]))</f>
        <v>3C0</v>
      </c>
      <c r="D364" s="1" t="s">
        <v>736</v>
      </c>
      <c r="E364" s="1" t="s">
        <v>121</v>
      </c>
      <c r="F364" s="1" t="s">
        <v>124</v>
      </c>
      <c r="G364" s="1" t="s">
        <v>694</v>
      </c>
      <c r="H364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bins.append(BinFile(0x01CF50, 0x3C0, "fill0E_Engine", "bin", "filler", "us"))</v>
      </c>
      <c r="I364" s="3" t="str">
        <f>CONCATENATE(Table1[[#This Row],[name]],":")</f>
        <v>fill0E_Engine:</v>
      </c>
      <c r="J364" s="3" t="str">
        <f>CONCATENATE(".incbin """,Table1[[#This Row],[dir]],"/",Table1[[#This Row],[name]],".",Table1[[#This Row],[ext]],"""")</f>
        <v>.incbin "filler/fill0E_Engine.bin"</v>
      </c>
    </row>
    <row r="365" spans="1:10" x14ac:dyDescent="0.25">
      <c r="A365" s="3" t="s">
        <v>734</v>
      </c>
      <c r="B365" s="2" t="s">
        <v>735</v>
      </c>
      <c r="C365" s="3" t="str">
        <f>DEC2HEX(HEX2DEC(Table1[[#This Row],[end]])-HEX2DEC(Table1[[#This Row],[start]]))</f>
        <v>3C0</v>
      </c>
      <c r="D365" s="1" t="s">
        <v>737</v>
      </c>
      <c r="E365" s="1" t="s">
        <v>121</v>
      </c>
      <c r="F365" s="1" t="s">
        <v>126</v>
      </c>
      <c r="G365" s="1" t="s">
        <v>694</v>
      </c>
      <c r="H365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bins.append(BinFile(0x01CF50, 0x3C0, "fill0E_Engine_JP", "bin", "filler", "jp"))</v>
      </c>
      <c r="I365" s="3" t="str">
        <f>CONCATENATE(Table1[[#This Row],[name]],":")</f>
        <v>fill0E_Engine_JP:</v>
      </c>
      <c r="J365" s="3" t="str">
        <f>CONCATENATE(".incbin """,Table1[[#This Row],[dir]],"/",Table1[[#This Row],[name]],".",Table1[[#This Row],[ext]],"""")</f>
        <v>.incbin "filler/fill0E_Engine_JP.bin"</v>
      </c>
    </row>
    <row r="366" spans="1:10" x14ac:dyDescent="0.25">
      <c r="A366" s="3" t="s">
        <v>731</v>
      </c>
      <c r="B366" s="2" t="s">
        <v>733</v>
      </c>
      <c r="C366" s="3" t="str">
        <f>DEC2HEX(HEX2DEC(Table1[[#This Row],[end]])-HEX2DEC(Table1[[#This Row],[start]]))</f>
        <v>28</v>
      </c>
      <c r="D366" s="1" t="s">
        <v>711</v>
      </c>
      <c r="E366" s="1" t="s">
        <v>121</v>
      </c>
      <c r="F366" s="1" t="s">
        <v>126</v>
      </c>
      <c r="G366" s="1" t="s">
        <v>694</v>
      </c>
      <c r="H366" s="3" t="str">
        <f>CONCATENATE("bins.append(BinFile(0x",Table1[[#This Row],[start]],", 0x",Table1[[#This Row],[size]],", """,Table1[[#This Row],[name]],""", """,Table1[[#This Row],[ext]],""", """,Table1[[#This Row],[dir]],""", """,Table1[[#This Row],[rom]],"""))")</f>
        <v>bins.append(BinFile(0x01FFE2, 0x28, "fill0F_JP", "bin", "filler", "jp"))</v>
      </c>
      <c r="I366" s="3" t="str">
        <f>CONCATENATE(Table1[[#This Row],[name]],":")</f>
        <v>fill0F_JP:</v>
      </c>
      <c r="J366" s="3" t="str">
        <f>CONCATENATE(".incbin """,Table1[[#This Row],[dir]],"/",Table1[[#This Row],[name]],".",Table1[[#This Row],[ext]],"""")</f>
        <v>.incbin "filler/fill0F_JP.bin"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Marcus</cp:lastModifiedBy>
  <dcterms:created xsi:type="dcterms:W3CDTF">2026-02-09T02:24:38Z</dcterms:created>
  <dcterms:modified xsi:type="dcterms:W3CDTF">2026-02-22T00:54:06Z</dcterms:modified>
</cp:coreProperties>
</file>