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ESDEV\dis\Bub2Dis\docs\"/>
    </mc:Choice>
  </mc:AlternateContent>
  <bookViews>
    <workbookView xWindow="0" yWindow="0" windowWidth="28800" windowHeight="12210"/>
  </bookViews>
  <sheets>
    <sheet name="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<sst xmlns="http://schemas.openxmlformats.org/spreadsheetml/2006/main" count="402" uniqueCount="339">
  <si>
    <t>bank</t>
  </si>
  <si>
    <t>bankh</t>
  </si>
  <si>
    <t>rom</t>
  </si>
  <si>
    <t>name</t>
  </si>
  <si>
    <t>comment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</si>
  <si>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</si>
  <si>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</si>
  <si>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</si>
  <si>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</si>
  <si>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</si>
  <si>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</si>
  <si>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</si>
  <si>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</si>
  <si>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</si>
  <si>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</si>
  <si>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</si>
  <si>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</si>
  <si>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</si>
  <si>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</si>
  <si>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</si>
  <si>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</si>
  <si>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</si>
  <si>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</si>
  <si>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</si>
  <si>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</si>
  <si>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</si>
  <si>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</si>
  <si>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</si>
  <si>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</si>
  <si>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</si>
  <si>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</si>
  <si>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</si>
  <si>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</si>
  <si>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</si>
  <si>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</si>
  <si>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</si>
  <si>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</si>
  <si>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</si>
  <si>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</si>
  <si>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</si>
  <si>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</si>
  <si>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</si>
  <si>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</si>
  <si>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</si>
  <si>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</si>
  <si>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</si>
  <si>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</si>
  <si>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</si>
  <si>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</si>
  <si>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</si>
  <si>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</si>
  <si>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</si>
  <si>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</si>
  <si>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</si>
  <si>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</si>
  <si>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</si>
  <si>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</si>
  <si>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</si>
  <si>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</si>
  <si>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</si>
  <si>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</si>
  <si>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</si>
  <si>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</si>
  <si>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3A</t>
  </si>
  <si>
    <t>3B</t>
  </si>
  <si>
    <t>3C</t>
  </si>
  <si>
    <t>3D</t>
  </si>
  <si>
    <t>3E</t>
  </si>
  <si>
    <t>3F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</si>
  <si>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</si>
  <si>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</si>
  <si>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</si>
  <si>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</si>
  <si>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</si>
  <si>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</si>
  <si>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</si>
  <si>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</si>
  <si>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</si>
  <si>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</si>
  <si>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4A</t>
  </si>
  <si>
    <t>4B</t>
  </si>
  <si>
    <t>4C</t>
  </si>
  <si>
    <t>4D</t>
  </si>
  <si>
    <t>4E</t>
  </si>
  <si>
    <t>4F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</si>
  <si>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</si>
  <si>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</si>
  <si>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</si>
  <si>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</si>
  <si>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</si>
  <si>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</si>
  <si>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</si>
  <si>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</si>
  <si>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</si>
  <si>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</si>
  <si>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5A</t>
  </si>
  <si>
    <t>5B</t>
  </si>
  <si>
    <t>5C</t>
  </si>
  <si>
    <t>5D</t>
  </si>
  <si>
    <t>5E</t>
  </si>
  <si>
    <t>5F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</si>
  <si>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</si>
  <si>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</si>
  <si>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</si>
  <si>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</si>
  <si>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</si>
  <si>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</si>
  <si>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</si>
  <si>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</si>
  <si>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</si>
  <si>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</si>
  <si>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6A</t>
  </si>
  <si>
    <t>6B</t>
  </si>
  <si>
    <t>6C</t>
  </si>
  <si>
    <t>6D</t>
  </si>
  <si>
    <t>6E</t>
  </si>
  <si>
    <t>6F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</si>
  <si>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</si>
  <si>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</si>
  <si>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</si>
  <si>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</si>
  <si>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</si>
  <si>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</si>
  <si>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</si>
  <si>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</si>
  <si>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</si>
  <si>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</si>
  <si>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7A</t>
  </si>
  <si>
    <t>7B</t>
  </si>
  <si>
    <t>7C</t>
  </si>
  <si>
    <t>7D</t>
  </si>
  <si>
    <t>7E</t>
  </si>
  <si>
    <t>7F</t>
  </si>
  <si>
    <t>Title screen</t>
  </si>
  <si>
    <t>Taito</t>
  </si>
  <si>
    <t>Intro stage</t>
  </si>
  <si>
    <t>Intro tree</t>
  </si>
  <si>
    <t>Intro characters</t>
  </si>
  <si>
    <t>Small font</t>
  </si>
  <si>
    <t>Tall font (alphabet, digits, ! . heart)</t>
  </si>
  <si>
    <t>Fans &amp; font A</t>
  </si>
  <si>
    <t>Fans &amp; font B</t>
  </si>
  <si>
    <t>Fans &amp; font C</t>
  </si>
  <si>
    <t>Giant tower</t>
  </si>
  <si>
    <t>Boomtown</t>
  </si>
  <si>
    <t>Shining lake</t>
  </si>
  <si>
    <t>Castle of fire</t>
  </si>
  <si>
    <t>Boss cave</t>
  </si>
  <si>
    <t>Missile tractor &amp; font A</t>
  </si>
  <si>
    <t>Missile tractor &amp; font B</t>
  </si>
  <si>
    <t>Missile tractor &amp; font C</t>
  </si>
  <si>
    <t>Giant rewards</t>
  </si>
  <si>
    <t>Player bubble travel</t>
  </si>
  <si>
    <t>Shoe car &amp; font</t>
  </si>
  <si>
    <t>Bonus game room</t>
  </si>
  <si>
    <t>Barcelon</t>
  </si>
  <si>
    <t>Bonus ball &amp; head</t>
  </si>
  <si>
    <t>Player walk, inflate, jump, rotating</t>
  </si>
  <si>
    <t>Player walk, inflate, jump, death</t>
  </si>
  <si>
    <t>Player tiny, fall</t>
  </si>
  <si>
    <t>Items, thunder bubble</t>
  </si>
  <si>
    <t>Items, thunder bubble, spike orb</t>
  </si>
  <si>
    <t>Items, snow bubble, spike orb</t>
  </si>
  <si>
    <t>Items, fire bubble, spike orb</t>
  </si>
  <si>
    <t>Items, water bubble, spike orb</t>
  </si>
  <si>
    <t>Items, wind bubble, spike orb</t>
  </si>
  <si>
    <t>Items, star bubble, spike orb</t>
  </si>
  <si>
    <t>Zen-chan, bomb, Skel-Monsta, shaved ice</t>
  </si>
  <si>
    <t>Banebou, bomb, Skel-Monsta, bananas</t>
  </si>
  <si>
    <t>Blobby, bomb, Skel-Monsta, leg</t>
  </si>
  <si>
    <t>Pulpul, bomb, Skel-Monsta, corn</t>
  </si>
  <si>
    <t>Needler, bomb, Skel-Monsta, peach</t>
  </si>
  <si>
    <t>Invader, bomb, Skel-Monsta, chocolate ice</t>
  </si>
  <si>
    <t>Monsta, bomb, Skel-Monsta, pumpkin</t>
  </si>
  <si>
    <t>Heitai-kun, bomb, Skel-Monsta, burger</t>
  </si>
  <si>
    <t>Carry-Heli, bomb, Skel-Monsta, chocolate ice</t>
  </si>
  <si>
    <t>Flarion, bomb, Skel-Monsta, chocolate ice</t>
  </si>
  <si>
    <t>Snagger</t>
  </si>
  <si>
    <t>Mantichar</t>
  </si>
  <si>
    <t>Robo-Zen, missile A</t>
  </si>
  <si>
    <t>Robo-Zen, missile B</t>
  </si>
  <si>
    <t>Robo-Zen, missile C</t>
  </si>
  <si>
    <t>Robo-Zen, missile D</t>
  </si>
  <si>
    <t>Trash</t>
  </si>
  <si>
    <t>Kirikabun, Flutterfly, frankfurter</t>
  </si>
  <si>
    <t>Twizzer</t>
  </si>
  <si>
    <t>DOH, fruit</t>
  </si>
  <si>
    <t>Drunk, tangerine A</t>
  </si>
  <si>
    <t>Drunk, tangerine B</t>
  </si>
  <si>
    <t>Springit</t>
  </si>
  <si>
    <t>Springit top</t>
  </si>
  <si>
    <t>Chucker, pistachio</t>
  </si>
  <si>
    <t>Free space</t>
  </si>
  <si>
    <t>Ruckus, Ruckus bomb</t>
  </si>
  <si>
    <t>Mad Monkey</t>
  </si>
  <si>
    <t>Rounder</t>
  </si>
  <si>
    <t>Roc</t>
  </si>
  <si>
    <t>Roc phase 2</t>
  </si>
  <si>
    <t>Super Drunk</t>
  </si>
  <si>
    <t>Boss Skull Brothers</t>
  </si>
  <si>
    <t>Red Skull Brother phase 2</t>
  </si>
  <si>
    <t>Intro Skull Brothers</t>
  </si>
  <si>
    <t>Red Skull Brother defeated, Skel-Monsta</t>
  </si>
  <si>
    <t>Ending fairy</t>
  </si>
  <si>
    <t>Ending Cubby &amp; Judy</t>
  </si>
  <si>
    <t>Old title screen, ending</t>
  </si>
  <si>
    <t>Taito_A</t>
  </si>
  <si>
    <t>Boomtown_A</t>
  </si>
  <si>
    <t>Taito_B</t>
  </si>
  <si>
    <t>IntroStage_A</t>
  </si>
  <si>
    <t>IntroTree_A</t>
  </si>
  <si>
    <t>SmallFont_A</t>
  </si>
  <si>
    <t>IntroStage_B</t>
  </si>
  <si>
    <t>IntroTree_B</t>
  </si>
  <si>
    <t>SmallFont_B</t>
  </si>
  <si>
    <t>Boomtown_B</t>
  </si>
  <si>
    <t>IntroSkull_A</t>
  </si>
  <si>
    <t>TallFont_A</t>
  </si>
  <si>
    <t>IntroSkull_B</t>
  </si>
  <si>
    <t>IntroActors_A</t>
  </si>
  <si>
    <t>IntroActors_B</t>
  </si>
  <si>
    <t>TallFont_B</t>
  </si>
  <si>
    <t>GiantTower_AA</t>
  </si>
  <si>
    <t>GiantTower_AB</t>
  </si>
  <si>
    <t>GiantTower_BA</t>
  </si>
  <si>
    <t>GiantTower_BB</t>
  </si>
  <si>
    <t>GiantTower_CA</t>
  </si>
  <si>
    <t>GiantTower_CB</t>
  </si>
  <si>
    <t>Fans_AA</t>
  </si>
  <si>
    <t>Fans_AB</t>
  </si>
  <si>
    <t>Fans_BA</t>
  </si>
  <si>
    <t>Fans_BB</t>
  </si>
  <si>
    <t>Fans_CA</t>
  </si>
  <si>
    <t>Fans_CB</t>
  </si>
  <si>
    <t>Shining lake with ABCD</t>
  </si>
  <si>
    <t>Shining lake old design?</t>
  </si>
  <si>
    <t>ShiningLake_AA</t>
  </si>
  <si>
    <t>ShiningLake_AB</t>
  </si>
  <si>
    <t>ShiningLake_BA</t>
  </si>
  <si>
    <t>ShiningLake_BB</t>
  </si>
  <si>
    <t>ShiningLake_CA</t>
  </si>
  <si>
    <t>ShiningLake_CB</t>
  </si>
  <si>
    <t>FireCastle_AA</t>
  </si>
  <si>
    <t>FireCastle_AB</t>
  </si>
  <si>
    <t>FireCastle_BA</t>
  </si>
  <si>
    <t>FireCastle_BB</t>
  </si>
  <si>
    <t>BossCave_A</t>
  </si>
  <si>
    <t>BossCave_B</t>
  </si>
  <si>
    <t>Continue sprites</t>
  </si>
  <si>
    <t>Items</t>
  </si>
  <si>
    <t>GameOver</t>
  </si>
  <si>
    <t>MissileTractor_AA</t>
  </si>
  <si>
    <t>MissileTractor_AB</t>
  </si>
  <si>
    <t>MissileTractor_BA</t>
  </si>
  <si>
    <t>MissileTractor_CA</t>
  </si>
  <si>
    <t>BigReward_A</t>
  </si>
  <si>
    <t>BigReward_B</t>
  </si>
  <si>
    <t>PlayerTravel_A</t>
  </si>
  <si>
    <t>PlayerTravel_B</t>
  </si>
  <si>
    <t>ShoeCar_A</t>
  </si>
  <si>
    <t>ShoeCar_B</t>
  </si>
  <si>
    <t>BonusRoom_A</t>
  </si>
  <si>
    <t>BonusRoom_B</t>
  </si>
  <si>
    <t>Barcelon_A</t>
  </si>
  <si>
    <t>Barcelon_B</t>
  </si>
  <si>
    <t>BonusBall_A</t>
  </si>
  <si>
    <t>BonusBall_B</t>
  </si>
  <si>
    <t>Player_A</t>
  </si>
  <si>
    <t>Player_B</t>
  </si>
  <si>
    <t>Player_C</t>
  </si>
  <si>
    <t>Player_D</t>
  </si>
  <si>
    <t>Player_E</t>
  </si>
  <si>
    <t>Player_F</t>
  </si>
  <si>
    <t>Player_G</t>
  </si>
  <si>
    <t>Player_H</t>
  </si>
  <si>
    <t>Player_I</t>
  </si>
  <si>
    <t>Player_J</t>
  </si>
  <si>
    <t>Player_K</t>
  </si>
  <si>
    <t>Player_L</t>
  </si>
  <si>
    <t>Player_M</t>
  </si>
  <si>
    <t>Player_N</t>
  </si>
  <si>
    <t>Player_O</t>
  </si>
  <si>
    <t>Player_P</t>
  </si>
  <si>
    <t>Thunder</t>
  </si>
  <si>
    <t>Snow</t>
  </si>
  <si>
    <t>Fire</t>
  </si>
  <si>
    <t>Flood</t>
  </si>
  <si>
    <t>Wind</t>
  </si>
  <si>
    <t>Star</t>
  </si>
  <si>
    <t>ZenChan</t>
  </si>
  <si>
    <t>Banebou</t>
  </si>
  <si>
    <t>Blobby</t>
  </si>
  <si>
    <t>Pulpul</t>
  </si>
  <si>
    <t>Needler</t>
  </si>
  <si>
    <t>Invader</t>
  </si>
  <si>
    <t>Monsta</t>
  </si>
  <si>
    <t>HeitaiKun</t>
  </si>
  <si>
    <t>CarryHeli</t>
  </si>
  <si>
    <t>Flarion</t>
  </si>
  <si>
    <t>Kirikabun</t>
  </si>
  <si>
    <t>DOH</t>
  </si>
  <si>
    <t>Chucker</t>
  </si>
  <si>
    <t>RoboZen_A</t>
  </si>
  <si>
    <t>RoboZen_B</t>
  </si>
  <si>
    <t>RoboZen_C</t>
  </si>
  <si>
    <t>RoboZen_D</t>
  </si>
  <si>
    <t>Drunk_A</t>
  </si>
  <si>
    <t>Drunk_B</t>
  </si>
  <si>
    <t>Springit_A</t>
  </si>
  <si>
    <t>Springit_B</t>
  </si>
  <si>
    <t>Free6F</t>
  </si>
  <si>
    <t>Ruckus_A</t>
  </si>
  <si>
    <t>Ruckus_B</t>
  </si>
  <si>
    <t>MadMonkey</t>
  </si>
  <si>
    <t>Roc_A</t>
  </si>
  <si>
    <t>Roc_B</t>
  </si>
  <si>
    <t>SkullBrothers</t>
  </si>
  <si>
    <t>SuperDrunk</t>
  </si>
  <si>
    <t>FinalSkull_A</t>
  </si>
  <si>
    <t>FinalSkull_B</t>
  </si>
  <si>
    <t>EndingActors_A</t>
  </si>
  <si>
    <t>EndingActors_B</t>
  </si>
  <si>
    <t>TitleScreen_A</t>
  </si>
  <si>
    <t>TitleScreen_B</t>
  </si>
  <si>
    <t>TitleScreen_C</t>
  </si>
  <si>
    <t>TitleScreen_D</t>
  </si>
  <si>
    <t>OldTitle_A</t>
  </si>
  <si>
    <t>OldTitle_B</t>
  </si>
  <si>
    <t>OldTitle_C</t>
  </si>
  <si>
    <t>OldTitle_D</t>
  </si>
  <si>
    <t>JP diff</t>
  </si>
  <si>
    <t>X</t>
  </si>
  <si>
    <t>py</t>
  </si>
  <si>
    <t>asm</t>
  </si>
  <si>
    <t>asmid</t>
  </si>
  <si>
    <t>asmid2</t>
  </si>
  <si>
    <t>bankcopy</t>
  </si>
  <si>
    <t>MissileTractor_BB</t>
  </si>
  <si>
    <t>MissileTractor_CB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</si>
</sst>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29" totalsRowShown="0" headerRowDxfId="12" dataDxfId="11">
  <autoFilter ref="A1:K129"/>
  <tableColumns count="11">
    <tableColumn id="1" name="bank" dataDxfId="10"/>
    <tableColumn id="2" name="bankh" dataDxfId="9"/>
    <tableColumn id="3" name="rom" dataDxfId="8">
      <calculatedColumnFormula>DEC2HEX(HEX2DEC("200010") + (HEX2DEC("400") *#REF!))</calculatedColumnFormula>
    </tableColumn>
    <tableColumn id="7" name="JP diff" dataDxfId="7"/>
    <tableColumn id="4" name="name" dataDxfId="6"/>
    <tableColumn id="5" name="comment" dataDxfId="5"/>
    <tableColumn id="8" name="py" dataDxfId="4">
      <calculatedColumnFormula>CONCATENATE("names.append('",Table1[[#This Row],[name]],"')")</calculatedColumnFormula>
    </tableColumn>
    <tableColumn id="9" name="asm" dataDxfId="3">
      <calculatedColumnFormula>CONCATENATE(".incbin ""chr/",Table1[[#This Row],[name]],".chr""")</calculatedColumnFormula>
    </tableColumn>
    <tableColumn id="6" name="asmid" dataDxfId="2">
      <calculatedColumnFormula>CONCATENATE("chr",Table1[[#This Row],[name]],"_ID")</calculatedColumnFormula>
    </tableColumn>
    <tableColumn id="11" name="asmid2" dataDxfId="1">
      <calculatedColumnFormula>CONCATENATE(Table1[[#This Row],[asmid]]," = $",Table1[[#This Row],[bankh]])</calculatedColumnFormula>
    </tableColumn>
    <tableColumn id="12" name="bankcopy" dataDxfId="0">
      <calculatedColumnFormula>Table1[[#This Row],[bankh]]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4"/>
  <sheetViews>
    <sheetView tabSelected="1" topLeftCell="A19" workbookViewId="0">
      <selection activeCell="E53" sqref="E53"/>
    </sheetView>
  </sheetViews>
  <sheetFormatPr defaultRowHeight="15" x14ac:dyDescent="0.25"/>
  <cols>
    <col min="1" max="1" width="12.140625" customWidth="1"/>
    <col min="2" max="2" width="12.42578125" customWidth="1"/>
    <col min="3" max="3" width="12.140625" customWidth="1"/>
    <col min="4" max="4" width="11" customWidth="1"/>
    <col min="5" max="5" width="20.28515625" customWidth="1"/>
    <col min="6" max="6" width="23.7109375" customWidth="1"/>
    <col min="7" max="7" width="49.85546875" customWidth="1"/>
    <col min="8" max="8" width="13.5703125" customWidth="1"/>
    <col min="9" max="9" width="23.7109375" customWidth="1"/>
    <col min="10" max="10" width="12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330</v>
      </c>
      <c r="E1" s="1" t="s">
        <v>3</v>
      </c>
      <c r="F1" s="1" t="s">
        <v>4</v>
      </c>
      <c r="G1" s="1" t="s">
        <v>332</v>
      </c>
      <c r="H1" s="1" t="s">
        <v>333</v>
      </c>
      <c r="I1" s="1" t="s">
        <v>334</v>
      </c>
      <c r="J1" s="1" t="s">
        <v>335</v>
      </c>
      <c r="K1" s="1" t="s">
        <v>336</v>
      </c>
    </row>
    <row r="2" spans="1:11" x14ac:dyDescent="0.25">
      <c r="A2" s="1">
        <v>0</v>
      </c>
      <c r="B2" s="1" t="s">
        <v>5</v>
      </c>
      <c r="C2" s="1" t="str">
        <f>DEC2HEX(HEX2DEC("20010") + (HEX2DEC("400") * Table1[[#This Row],[bank]]))</f>
        <v>20010</v>
      </c>
      <c r="D2" s="1"/>
      <c r="E2" s="1" t="s">
        <v>326</v>
      </c>
      <c r="F2" s="2" t="s">
        <v>205</v>
      </c>
      <c r="G2" s="1" t="str">
        <f>CONCATENATE("names.append('",Table1[[#This Row],[name]],"')")</f>
        <v>names.append('OldTitle_A')</v>
      </c>
      <c r="H2" s="1" t="str">
        <f>CONCATENATE(".incbin ""chr/",Table1[[#This Row],[name]],".chr""")</f>
        <v>.incbin "chr/OldTitle_A.chr"</v>
      </c>
      <c r="I2" s="1" t="str">
        <f>CONCATENATE("chr",Table1[[#This Row],[name]],"_ID")</f>
        <v>chrOldTitle_A_ID</v>
      </c>
      <c r="J2" s="1" t="str">
        <f>CONCATENATE(Table1[[#This Row],[asmid]]," = $",Table1[[#This Row],[bankh]])</f>
        <v>chrOldTitle_A_ID = $00</v>
      </c>
      <c r="K2" s="3" t="str">
        <f>Table1[[#This Row],[bankh]]</f>
        <v>00</v>
      </c>
    </row>
    <row r="3" spans="1:11" x14ac:dyDescent="0.25">
      <c r="A3" s="1">
        <v>1</v>
      </c>
      <c r="B3" s="1" t="s">
        <v>6</v>
      </c>
      <c r="C3" s="1" t="str">
        <f>DEC2HEX(HEX2DEC("20010") + (HEX2DEC("400") * Table1[[#This Row],[bank]]))</f>
        <v>20410</v>
      </c>
      <c r="D3" s="1"/>
      <c r="E3" s="1" t="s">
        <v>327</v>
      </c>
      <c r="F3" s="2" t="s">
        <v>205</v>
      </c>
      <c r="G3" s="1" t="str">
        <f>CONCATENATE("names.append('",Table1[[#This Row],[name]],"')")</f>
        <v>names.append('OldTitle_B')</v>
      </c>
      <c r="H3" s="1" t="str">
        <f>CONCATENATE(".incbin ""chr/",Table1[[#This Row],[name]],".chr""")</f>
        <v>.incbin "chr/OldTitle_B.chr"</v>
      </c>
      <c r="I3" s="1" t="str">
        <f>CONCATENATE("chr",Table1[[#This Row],[name]],"_ID")</f>
        <v>chrOldTitle_B_ID</v>
      </c>
      <c r="J3" s="3" t="str">
        <f>CONCATENATE(Table1[[#This Row],[asmid]]," = $",Table1[[#This Row],[bankh]])</f>
        <v>chrOldTitle_B_ID = $01</v>
      </c>
      <c r="K3" s="3" t="str">
        <f>Table1[[#This Row],[bankh]]</f>
        <v>01</v>
      </c>
    </row>
    <row r="4" spans="1:11" x14ac:dyDescent="0.25">
      <c r="A4" s="1">
        <v>2</v>
      </c>
      <c r="B4" s="1" t="s">
        <v>7</v>
      </c>
      <c r="C4" s="1" t="str">
        <f>DEC2HEX(HEX2DEC("20010") + (HEX2DEC("400") * Table1[[#This Row],[bank]]))</f>
        <v>20810</v>
      </c>
      <c r="D4" s="1"/>
      <c r="E4" s="1" t="s">
        <v>328</v>
      </c>
      <c r="F4" s="2" t="s">
        <v>205</v>
      </c>
      <c r="G4" s="1" t="str">
        <f>CONCATENATE("names.append('",Table1[[#This Row],[name]],"')")</f>
        <v>names.append('OldTitle_C')</v>
      </c>
      <c r="H4" s="1" t="str">
        <f>CONCATENATE(".incbin ""chr/",Table1[[#This Row],[name]],".chr""")</f>
        <v>.incbin "chr/OldTitle_C.chr"</v>
      </c>
      <c r="I4" s="1" t="str">
        <f>CONCATENATE("chr",Table1[[#This Row],[name]],"_ID")</f>
        <v>chrOldTitle_C_ID</v>
      </c>
      <c r="J4" s="3" t="str">
        <f>CONCATENATE(Table1[[#This Row],[asmid]]," = $",Table1[[#This Row],[bankh]])</f>
        <v>chrOldTitle_C_ID = $02</v>
      </c>
      <c r="K4" s="3" t="str">
        <f>Table1[[#This Row],[bankh]]</f>
        <v>02</v>
      </c>
    </row>
    <row r="5" spans="1:11" x14ac:dyDescent="0.25">
      <c r="A5" s="1">
        <v>3</v>
      </c>
      <c r="B5" s="1" t="s">
        <v>8</v>
      </c>
      <c r="C5" s="1" t="str">
        <f>DEC2HEX(HEX2DEC("20010") + (HEX2DEC("400") * Table1[[#This Row],[bank]]))</f>
        <v>20C10</v>
      </c>
      <c r="D5" s="1"/>
      <c r="E5" s="1" t="s">
        <v>329</v>
      </c>
      <c r="F5" s="2" t="s">
        <v>205</v>
      </c>
      <c r="G5" s="1" t="str">
        <f>CONCATENATE("names.append('",Table1[[#This Row],[name]],"')")</f>
        <v>names.append('OldTitle_D')</v>
      </c>
      <c r="H5" s="1" t="str">
        <f>CONCATENATE(".incbin ""chr/",Table1[[#This Row],[name]],".chr""")</f>
        <v>.incbin "chr/OldTitle_D.chr"</v>
      </c>
      <c r="I5" s="1" t="str">
        <f>CONCATENATE("chr",Table1[[#This Row],[name]],"_ID")</f>
        <v>chrOldTitle_D_ID</v>
      </c>
      <c r="J5" s="3" t="str">
        <f>CONCATENATE(Table1[[#This Row],[asmid]]," = $",Table1[[#This Row],[bankh]])</f>
        <v>chrOldTitle_D_ID = $03</v>
      </c>
      <c r="K5" s="3" t="str">
        <f>Table1[[#This Row],[bankh]]</f>
        <v>03</v>
      </c>
    </row>
    <row r="6" spans="1:11" x14ac:dyDescent="0.25">
      <c r="A6" s="1">
        <v>4</v>
      </c>
      <c r="B6" s="1" t="s">
        <v>9</v>
      </c>
      <c r="C6" s="1" t="str">
        <f>DEC2HEX(HEX2DEC("20010") + (HEX2DEC("400") * Table1[[#This Row],[bank]]))</f>
        <v>21010</v>
      </c>
      <c r="D6" s="1"/>
      <c r="E6" s="1" t="s">
        <v>206</v>
      </c>
      <c r="F6" s="2" t="s">
        <v>134</v>
      </c>
      <c r="G6" s="1" t="str">
        <f>CONCATENATE("names.append('",Table1[[#This Row],[name]],"')")</f>
        <v>names.append('Taito_A')</v>
      </c>
      <c r="H6" s="1" t="str">
        <f>CONCATENATE(".incbin ""chr/",Table1[[#This Row],[name]],".chr""")</f>
        <v>.incbin "chr/Taito_A.chr"</v>
      </c>
      <c r="I6" s="1" t="str">
        <f>CONCATENATE("chr",Table1[[#This Row],[name]],"_ID")</f>
        <v>chrTaito_A_ID</v>
      </c>
      <c r="J6" s="3" t="str">
        <f>CONCATENATE(Table1[[#This Row],[asmid]]," = $",Table1[[#This Row],[bankh]])</f>
        <v>chrTaito_A_ID = $04</v>
      </c>
      <c r="K6" s="3" t="str">
        <f>Table1[[#This Row],[bankh]]</f>
        <v>04</v>
      </c>
    </row>
    <row r="7" spans="1:11" x14ac:dyDescent="0.25">
      <c r="A7" s="1">
        <v>5</v>
      </c>
      <c r="B7" s="1" t="s">
        <v>10</v>
      </c>
      <c r="C7" s="1" t="str">
        <f>DEC2HEX(HEX2DEC("20010") + (HEX2DEC("400") * Table1[[#This Row],[bank]]))</f>
        <v>21410</v>
      </c>
      <c r="D7" s="1"/>
      <c r="E7" s="1" t="s">
        <v>208</v>
      </c>
      <c r="F7" s="2" t="s">
        <v>134</v>
      </c>
      <c r="G7" s="1" t="str">
        <f>CONCATENATE("names.append('",Table1[[#This Row],[name]],"')")</f>
        <v>names.append('Taito_B')</v>
      </c>
      <c r="H7" s="1" t="str">
        <f>CONCATENATE(".incbin ""chr/",Table1[[#This Row],[name]],".chr""")</f>
        <v>.incbin "chr/Taito_B.chr"</v>
      </c>
      <c r="I7" s="1" t="str">
        <f>CONCATENATE("chr",Table1[[#This Row],[name]],"_ID")</f>
        <v>chrTaito_B_ID</v>
      </c>
      <c r="J7" s="3" t="str">
        <f>CONCATENATE(Table1[[#This Row],[asmid]]," = $",Table1[[#This Row],[bankh]])</f>
        <v>chrTaito_B_ID = $05</v>
      </c>
      <c r="K7" s="3" t="str">
        <f>Table1[[#This Row],[bankh]]</f>
        <v>05</v>
      </c>
    </row>
    <row r="8" spans="1:11" x14ac:dyDescent="0.25">
      <c r="A8" s="1">
        <v>6</v>
      </c>
      <c r="B8" s="1" t="s">
        <v>11</v>
      </c>
      <c r="C8" s="1" t="str">
        <f>DEC2HEX(HEX2DEC("20010") + (HEX2DEC("400") * Table1[[#This Row],[bank]]))</f>
        <v>21810</v>
      </c>
      <c r="D8" s="1"/>
      <c r="E8" s="1" t="s">
        <v>209</v>
      </c>
      <c r="F8" s="2" t="s">
        <v>135</v>
      </c>
      <c r="G8" s="1" t="str">
        <f>CONCATENATE("names.append('",Table1[[#This Row],[name]],"')")</f>
        <v>names.append('IntroStage_A')</v>
      </c>
      <c r="H8" s="1" t="str">
        <f>CONCATENATE(".incbin ""chr/",Table1[[#This Row],[name]],".chr""")</f>
        <v>.incbin "chr/IntroStage_A.chr"</v>
      </c>
      <c r="I8" s="1" t="str">
        <f>CONCATENATE("chr",Table1[[#This Row],[name]],"_ID")</f>
        <v>chrIntroStage_A_ID</v>
      </c>
      <c r="J8" s="3" t="str">
        <f>CONCATENATE(Table1[[#This Row],[asmid]]," = $",Table1[[#This Row],[bankh]])</f>
        <v>chrIntroStage_A_ID = $06</v>
      </c>
      <c r="K8" s="3" t="str">
        <f>Table1[[#This Row],[bankh]]</f>
        <v>06</v>
      </c>
    </row>
    <row r="9" spans="1:11" x14ac:dyDescent="0.25">
      <c r="A9" s="1">
        <v>7</v>
      </c>
      <c r="B9" s="1" t="s">
        <v>12</v>
      </c>
      <c r="C9" s="1" t="str">
        <f>DEC2HEX(HEX2DEC("20010") + (HEX2DEC("400") * Table1[[#This Row],[bank]]))</f>
        <v>21C10</v>
      </c>
      <c r="D9" s="1"/>
      <c r="E9" s="1" t="s">
        <v>212</v>
      </c>
      <c r="F9" s="2" t="s">
        <v>135</v>
      </c>
      <c r="G9" s="1" t="str">
        <f>CONCATENATE("names.append('",Table1[[#This Row],[name]],"')")</f>
        <v>names.append('IntroStage_B')</v>
      </c>
      <c r="H9" s="1" t="str">
        <f>CONCATENATE(".incbin ""chr/",Table1[[#This Row],[name]],".chr""")</f>
        <v>.incbin "chr/IntroStage_B.chr"</v>
      </c>
      <c r="I9" s="1" t="str">
        <f>CONCATENATE("chr",Table1[[#This Row],[name]],"_ID")</f>
        <v>chrIntroStage_B_ID</v>
      </c>
      <c r="J9" s="3" t="str">
        <f>CONCATENATE(Table1[[#This Row],[asmid]]," = $",Table1[[#This Row],[bankh]])</f>
        <v>chrIntroStage_B_ID = $07</v>
      </c>
      <c r="K9" s="3" t="str">
        <f>Table1[[#This Row],[bankh]]</f>
        <v>07</v>
      </c>
    </row>
    <row r="10" spans="1:11" x14ac:dyDescent="0.25">
      <c r="A10" s="1">
        <v>8</v>
      </c>
      <c r="B10" s="1" t="s">
        <v>13</v>
      </c>
      <c r="C10" s="1" t="str">
        <f>DEC2HEX(HEX2DEC("20010") + (HEX2DEC("400") * Table1[[#This Row],[bank]]))</f>
        <v>22010</v>
      </c>
      <c r="D10" s="1"/>
      <c r="E10" s="1" t="s">
        <v>216</v>
      </c>
      <c r="F10" s="2" t="s">
        <v>201</v>
      </c>
      <c r="G10" s="1" t="str">
        <f>CONCATENATE("names.append('",Table1[[#This Row],[name]],"')")</f>
        <v>names.append('IntroSkull_A')</v>
      </c>
      <c r="H10" s="1" t="str">
        <f>CONCATENATE(".incbin ""chr/",Table1[[#This Row],[name]],".chr""")</f>
        <v>.incbin "chr/IntroSkull_A.chr"</v>
      </c>
      <c r="I10" s="1" t="str">
        <f>CONCATENATE("chr",Table1[[#This Row],[name]],"_ID")</f>
        <v>chrIntroSkull_A_ID</v>
      </c>
      <c r="J10" s="3" t="str">
        <f>CONCATENATE(Table1[[#This Row],[asmid]]," = $",Table1[[#This Row],[bankh]])</f>
        <v>chrIntroSkull_A_ID = $08</v>
      </c>
      <c r="K10" s="3" t="str">
        <f>Table1[[#This Row],[bankh]]</f>
        <v>08</v>
      </c>
    </row>
    <row r="11" spans="1:11" x14ac:dyDescent="0.25">
      <c r="A11" s="1">
        <v>9</v>
      </c>
      <c r="B11" s="1" t="s">
        <v>14</v>
      </c>
      <c r="C11" s="1" t="str">
        <f>DEC2HEX(HEX2DEC("20010") + (HEX2DEC("400") * Table1[[#This Row],[bank]]))</f>
        <v>22410</v>
      </c>
      <c r="D11" s="1"/>
      <c r="E11" s="1" t="s">
        <v>218</v>
      </c>
      <c r="F11" s="2" t="s">
        <v>201</v>
      </c>
      <c r="G11" s="1" t="str">
        <f>CONCATENATE("names.append('",Table1[[#This Row],[name]],"')")</f>
        <v>names.append('IntroSkull_B')</v>
      </c>
      <c r="H11" s="1" t="str">
        <f>CONCATENATE(".incbin ""chr/",Table1[[#This Row],[name]],".chr""")</f>
        <v>.incbin "chr/IntroSkull_B.chr"</v>
      </c>
      <c r="I11" s="1" t="str">
        <f>CONCATENATE("chr",Table1[[#This Row],[name]],"_ID")</f>
        <v>chrIntroSkull_B_ID</v>
      </c>
      <c r="J11" s="3" t="str">
        <f>CONCATENATE(Table1[[#This Row],[asmid]]," = $",Table1[[#This Row],[bankh]])</f>
        <v>chrIntroSkull_B_ID = $09</v>
      </c>
      <c r="K11" s="3" t="str">
        <f>Table1[[#This Row],[bankh]]</f>
        <v>09</v>
      </c>
    </row>
    <row r="12" spans="1:11" x14ac:dyDescent="0.25">
      <c r="A12" s="1">
        <v>10</v>
      </c>
      <c r="B12" s="1" t="s">
        <v>15</v>
      </c>
      <c r="C12" s="1" t="str">
        <f>DEC2HEX(HEX2DEC("20010") + (HEX2DEC("400") * Table1[[#This Row],[bank]]))</f>
        <v>22810</v>
      </c>
      <c r="D12" s="1"/>
      <c r="E12" s="1" t="s">
        <v>210</v>
      </c>
      <c r="F12" s="2" t="s">
        <v>136</v>
      </c>
      <c r="G12" s="1" t="str">
        <f>CONCATENATE("names.append('",Table1[[#This Row],[name]],"')")</f>
        <v>names.append('IntroTree_A')</v>
      </c>
      <c r="H12" s="1" t="str">
        <f>CONCATENATE(".incbin ""chr/",Table1[[#This Row],[name]],".chr""")</f>
        <v>.incbin "chr/IntroTree_A.chr"</v>
      </c>
      <c r="I12" s="1" t="str">
        <f>CONCATENATE("chr",Table1[[#This Row],[name]],"_ID")</f>
        <v>chrIntroTree_A_ID</v>
      </c>
      <c r="J12" s="3" t="str">
        <f>CONCATENATE(Table1[[#This Row],[asmid]]," = $",Table1[[#This Row],[bankh]])</f>
        <v>chrIntroTree_A_ID = $0A</v>
      </c>
      <c r="K12" s="3" t="str">
        <f>Table1[[#This Row],[bankh]]</f>
        <v>0A</v>
      </c>
    </row>
    <row r="13" spans="1:11" x14ac:dyDescent="0.25">
      <c r="A13" s="1">
        <v>11</v>
      </c>
      <c r="B13" s="1" t="s">
        <v>16</v>
      </c>
      <c r="C13" s="1" t="str">
        <f>DEC2HEX(HEX2DEC("20010") + (HEX2DEC("400") * Table1[[#This Row],[bank]]))</f>
        <v>22C10</v>
      </c>
      <c r="D13" s="1"/>
      <c r="E13" s="1" t="s">
        <v>213</v>
      </c>
      <c r="F13" s="2" t="s">
        <v>136</v>
      </c>
      <c r="G13" s="1" t="str">
        <f>CONCATENATE("names.append('",Table1[[#This Row],[name]],"')")</f>
        <v>names.append('IntroTree_B')</v>
      </c>
      <c r="H13" s="1" t="str">
        <f>CONCATENATE(".incbin ""chr/",Table1[[#This Row],[name]],".chr""")</f>
        <v>.incbin "chr/IntroTree_B.chr"</v>
      </c>
      <c r="I13" s="1" t="str">
        <f>CONCATENATE("chr",Table1[[#This Row],[name]],"_ID")</f>
        <v>chrIntroTree_B_ID</v>
      </c>
      <c r="J13" s="3" t="str">
        <f>CONCATENATE(Table1[[#This Row],[asmid]]," = $",Table1[[#This Row],[bankh]])</f>
        <v>chrIntroTree_B_ID = $0B</v>
      </c>
      <c r="K13" s="3" t="str">
        <f>Table1[[#This Row],[bankh]]</f>
        <v>0B</v>
      </c>
    </row>
    <row r="14" spans="1:11" x14ac:dyDescent="0.25">
      <c r="A14" s="1">
        <v>12</v>
      </c>
      <c r="B14" s="1" t="s">
        <v>17</v>
      </c>
      <c r="C14" s="1" t="str">
        <f>DEC2HEX(HEX2DEC("20010") + (HEX2DEC("400") * Table1[[#This Row],[bank]]))</f>
        <v>23010</v>
      </c>
      <c r="D14" s="1"/>
      <c r="E14" s="1" t="s">
        <v>219</v>
      </c>
      <c r="F14" s="2" t="s">
        <v>137</v>
      </c>
      <c r="G14" s="1" t="str">
        <f>CONCATENATE("names.append('",Table1[[#This Row],[name]],"')")</f>
        <v>names.append('IntroActors_A')</v>
      </c>
      <c r="H14" s="1" t="str">
        <f>CONCATENATE(".incbin ""chr/",Table1[[#This Row],[name]],".chr""")</f>
        <v>.incbin "chr/IntroActors_A.chr"</v>
      </c>
      <c r="I14" s="1" t="str">
        <f>CONCATENATE("chr",Table1[[#This Row],[name]],"_ID")</f>
        <v>chrIntroActors_A_ID</v>
      </c>
      <c r="J14" s="3" t="str">
        <f>CONCATENATE(Table1[[#This Row],[asmid]]," = $",Table1[[#This Row],[bankh]])</f>
        <v>chrIntroActors_A_ID = $0C</v>
      </c>
      <c r="K14" s="3" t="str">
        <f>Table1[[#This Row],[bankh]]</f>
        <v>0C</v>
      </c>
    </row>
    <row r="15" spans="1:11" x14ac:dyDescent="0.25">
      <c r="A15" s="1">
        <v>13</v>
      </c>
      <c r="B15" s="1" t="s">
        <v>18</v>
      </c>
      <c r="C15" s="1" t="str">
        <f>DEC2HEX(HEX2DEC("20010") + (HEX2DEC("400") * Table1[[#This Row],[bank]]))</f>
        <v>23410</v>
      </c>
      <c r="D15" s="1"/>
      <c r="E15" s="1" t="s">
        <v>220</v>
      </c>
      <c r="F15" s="2" t="s">
        <v>137</v>
      </c>
      <c r="G15" s="1" t="str">
        <f>CONCATENATE("names.append('",Table1[[#This Row],[name]],"')")</f>
        <v>names.append('IntroActors_B')</v>
      </c>
      <c r="H15" s="1" t="str">
        <f>CONCATENATE(".incbin ""chr/",Table1[[#This Row],[name]],".chr""")</f>
        <v>.incbin "chr/IntroActors_B.chr"</v>
      </c>
      <c r="I15" s="1" t="str">
        <f>CONCATENATE("chr",Table1[[#This Row],[name]],"_ID")</f>
        <v>chrIntroActors_B_ID</v>
      </c>
      <c r="J15" s="3" t="str">
        <f>CONCATENATE(Table1[[#This Row],[asmid]]," = $",Table1[[#This Row],[bankh]])</f>
        <v>chrIntroActors_B_ID = $0D</v>
      </c>
      <c r="K15" s="3" t="str">
        <f>Table1[[#This Row],[bankh]]</f>
        <v>0D</v>
      </c>
    </row>
    <row r="16" spans="1:11" x14ac:dyDescent="0.25">
      <c r="A16" s="1">
        <v>14</v>
      </c>
      <c r="B16" s="1" t="s">
        <v>19</v>
      </c>
      <c r="C16" s="1" t="str">
        <f>DEC2HEX(HEX2DEC("20010") + (HEX2DEC("400") * Table1[[#This Row],[bank]]))</f>
        <v>23810</v>
      </c>
      <c r="D16" s="1"/>
      <c r="E16" s="1" t="s">
        <v>211</v>
      </c>
      <c r="F16" s="2" t="s">
        <v>138</v>
      </c>
      <c r="G16" s="1" t="str">
        <f>CONCATENATE("names.append('",Table1[[#This Row],[name]],"')")</f>
        <v>names.append('SmallFont_A')</v>
      </c>
      <c r="H16" s="1" t="str">
        <f>CONCATENATE(".incbin ""chr/",Table1[[#This Row],[name]],".chr""")</f>
        <v>.incbin "chr/SmallFont_A.chr"</v>
      </c>
      <c r="I16" s="1" t="str">
        <f>CONCATENATE("chr",Table1[[#This Row],[name]],"_ID")</f>
        <v>chrSmallFont_A_ID</v>
      </c>
      <c r="J16" s="3" t="str">
        <f>CONCATENATE(Table1[[#This Row],[asmid]]," = $",Table1[[#This Row],[bankh]])</f>
        <v>chrSmallFont_A_ID = $0E</v>
      </c>
      <c r="K16" s="3" t="str">
        <f>Table1[[#This Row],[bankh]]</f>
        <v>0E</v>
      </c>
    </row>
    <row r="17" spans="1:11" x14ac:dyDescent="0.25">
      <c r="A17" s="1">
        <v>15</v>
      </c>
      <c r="B17" s="1" t="s">
        <v>20</v>
      </c>
      <c r="C17" s="1" t="str">
        <f>DEC2HEX(HEX2DEC("20010") + (HEX2DEC("400") * Table1[[#This Row],[bank]]))</f>
        <v>23C10</v>
      </c>
      <c r="D17" s="1"/>
      <c r="E17" s="1" t="s">
        <v>214</v>
      </c>
      <c r="F17" s="2" t="s">
        <v>192</v>
      </c>
      <c r="G17" s="1" t="str">
        <f>CONCATENATE("names.append('",Table1[[#This Row],[name]],"')")</f>
        <v>names.append('SmallFont_B')</v>
      </c>
      <c r="H17" s="1" t="str">
        <f>CONCATENATE(".incbin ""chr/",Table1[[#This Row],[name]],".chr""")</f>
        <v>.incbin "chr/SmallFont_B.chr"</v>
      </c>
      <c r="I17" s="1" t="str">
        <f>CONCATENATE("chr",Table1[[#This Row],[name]],"_ID")</f>
        <v>chrSmallFont_B_ID</v>
      </c>
      <c r="J17" s="3" t="str">
        <f>CONCATENATE(Table1[[#This Row],[asmid]]," = $",Table1[[#This Row],[bankh]])</f>
        <v>chrSmallFont_B_ID = $0F</v>
      </c>
      <c r="K17" s="3" t="str">
        <f>Table1[[#This Row],[bankh]]</f>
        <v>0F</v>
      </c>
    </row>
    <row r="18" spans="1:11" x14ac:dyDescent="0.25">
      <c r="A18" s="1">
        <v>16</v>
      </c>
      <c r="B18" s="1" t="s">
        <v>21</v>
      </c>
      <c r="C18" s="1" t="str">
        <f>DEC2HEX(HEX2DEC("20010") + (HEX2DEC("400") * Table1[[#This Row],[bank]]))</f>
        <v>24010</v>
      </c>
      <c r="D18" s="1"/>
      <c r="E18" s="1" t="s">
        <v>217</v>
      </c>
      <c r="F18" s="2" t="s">
        <v>139</v>
      </c>
      <c r="G18" s="1" t="str">
        <f>CONCATENATE("names.append('",Table1[[#This Row],[name]],"')")</f>
        <v>names.append('TallFont_A')</v>
      </c>
      <c r="H18" s="1" t="str">
        <f>CONCATENATE(".incbin ""chr/",Table1[[#This Row],[name]],".chr""")</f>
        <v>.incbin "chr/TallFont_A.chr"</v>
      </c>
      <c r="I18" s="1" t="str">
        <f>CONCATENATE("chr",Table1[[#This Row],[name]],"_ID")</f>
        <v>chrTallFont_A_ID</v>
      </c>
      <c r="J18" s="3" t="str">
        <f>CONCATENATE(Table1[[#This Row],[asmid]]," = $",Table1[[#This Row],[bankh]])</f>
        <v>chrTallFont_A_ID = $10</v>
      </c>
      <c r="K18" s="3" t="str">
        <f>Table1[[#This Row],[bankh]]</f>
        <v>10</v>
      </c>
    </row>
    <row r="19" spans="1:11" x14ac:dyDescent="0.25">
      <c r="A19" s="1">
        <v>17</v>
      </c>
      <c r="B19" s="1" t="s">
        <v>22</v>
      </c>
      <c r="C19" s="1" t="str">
        <f>DEC2HEX(HEX2DEC("20010") + (HEX2DEC("400") * Table1[[#This Row],[bank]]))</f>
        <v>24410</v>
      </c>
      <c r="D19" s="1"/>
      <c r="E19" s="1" t="s">
        <v>221</v>
      </c>
      <c r="F19" s="2" t="s">
        <v>139</v>
      </c>
      <c r="G19" s="1" t="str">
        <f>CONCATENATE("names.append('",Table1[[#This Row],[name]],"')")</f>
        <v>names.append('TallFont_B')</v>
      </c>
      <c r="H19" s="1" t="str">
        <f>CONCATENATE(".incbin ""chr/",Table1[[#This Row],[name]],".chr""")</f>
        <v>.incbin "chr/TallFont_B.chr"</v>
      </c>
      <c r="I19" s="1" t="str">
        <f>CONCATENATE("chr",Table1[[#This Row],[name]],"_ID")</f>
        <v>chrTallFont_B_ID</v>
      </c>
      <c r="J19" s="3" t="str">
        <f>CONCATENATE(Table1[[#This Row],[asmid]]," = $",Table1[[#This Row],[bankh]])</f>
        <v>chrTallFont_B_ID = $11</v>
      </c>
      <c r="K19" s="3" t="str">
        <f>Table1[[#This Row],[bankh]]</f>
        <v>11</v>
      </c>
    </row>
    <row r="20" spans="1:11" x14ac:dyDescent="0.25">
      <c r="A20" s="1">
        <v>18</v>
      </c>
      <c r="B20" s="1" t="s">
        <v>23</v>
      </c>
      <c r="C20" s="1" t="str">
        <f>DEC2HEX(HEX2DEC("20010") + (HEX2DEC("400") * Table1[[#This Row],[bank]]))</f>
        <v>24810</v>
      </c>
      <c r="D20" s="1"/>
      <c r="E20" s="1" t="s">
        <v>222</v>
      </c>
      <c r="F20" s="2" t="s">
        <v>143</v>
      </c>
      <c r="G20" s="1" t="str">
        <f>CONCATENATE("names.append('",Table1[[#This Row],[name]],"')")</f>
        <v>names.append('GiantTower_AA')</v>
      </c>
      <c r="H20" s="1" t="str">
        <f>CONCATENATE(".incbin ""chr/",Table1[[#This Row],[name]],".chr""")</f>
        <v>.incbin "chr/GiantTower_AA.chr"</v>
      </c>
      <c r="I20" s="1" t="str">
        <f>CONCATENATE("chr",Table1[[#This Row],[name]],"_ID")</f>
        <v>chrGiantTower_AA_ID</v>
      </c>
      <c r="J20" s="3" t="str">
        <f>CONCATENATE(Table1[[#This Row],[asmid]]," = $",Table1[[#This Row],[bankh]])</f>
        <v>chrGiantTower_AA_ID = $12</v>
      </c>
      <c r="K20" s="3" t="str">
        <f>Table1[[#This Row],[bankh]]</f>
        <v>12</v>
      </c>
    </row>
    <row r="21" spans="1:11" x14ac:dyDescent="0.25">
      <c r="A21" s="1">
        <v>19</v>
      </c>
      <c r="B21" s="1" t="s">
        <v>24</v>
      </c>
      <c r="C21" s="1" t="str">
        <f>DEC2HEX(HEX2DEC("20010") + (HEX2DEC("400") * Table1[[#This Row],[bank]]))</f>
        <v>24C10</v>
      </c>
      <c r="D21" s="1"/>
      <c r="E21" s="1" t="s">
        <v>223</v>
      </c>
      <c r="F21" s="2" t="s">
        <v>143</v>
      </c>
      <c r="G21" s="1" t="str">
        <f>CONCATENATE("names.append('",Table1[[#This Row],[name]],"')")</f>
        <v>names.append('GiantTower_AB')</v>
      </c>
      <c r="H21" s="1" t="str">
        <f>CONCATENATE(".incbin ""chr/",Table1[[#This Row],[name]],".chr""")</f>
        <v>.incbin "chr/GiantTower_AB.chr"</v>
      </c>
      <c r="I21" s="1" t="str">
        <f>CONCATENATE("chr",Table1[[#This Row],[name]],"_ID")</f>
        <v>chrGiantTower_AB_ID</v>
      </c>
      <c r="J21" s="3" t="str">
        <f>CONCATENATE(Table1[[#This Row],[asmid]]," = $",Table1[[#This Row],[bankh]])</f>
        <v>chrGiantTower_AB_ID = $13</v>
      </c>
      <c r="K21" s="3" t="str">
        <f>Table1[[#This Row],[bankh]]</f>
        <v>13</v>
      </c>
    </row>
    <row r="22" spans="1:11" x14ac:dyDescent="0.25">
      <c r="A22" s="1">
        <v>20</v>
      </c>
      <c r="B22" s="1" t="s">
        <v>25</v>
      </c>
      <c r="C22" s="1" t="str">
        <f>DEC2HEX(HEX2DEC("20010") + (HEX2DEC("400") * Table1[[#This Row],[bank]]))</f>
        <v>25010</v>
      </c>
      <c r="D22" s="1" t="s">
        <v>331</v>
      </c>
      <c r="E22" s="1" t="s">
        <v>224</v>
      </c>
      <c r="F22" s="2" t="s">
        <v>143</v>
      </c>
      <c r="G22" s="1" t="str">
        <f>CONCATENATE("names.append('",Table1[[#This Row],[name]],"')")</f>
        <v>names.append('GiantTower_BA')</v>
      </c>
      <c r="H22" s="1" t="str">
        <f>CONCATENATE(".incbin ""chr/",Table1[[#This Row],[name]],".chr""")</f>
        <v>.incbin "chr/GiantTower_BA.chr"</v>
      </c>
      <c r="I22" s="1" t="str">
        <f>CONCATENATE("chr",Table1[[#This Row],[name]],"_ID")</f>
        <v>chrGiantTower_BA_ID</v>
      </c>
      <c r="J22" s="3" t="str">
        <f>CONCATENATE(Table1[[#This Row],[asmid]]," = $",Table1[[#This Row],[bankh]])</f>
        <v>chrGiantTower_BA_ID = $14</v>
      </c>
      <c r="K22" s="3" t="str">
        <f>Table1[[#This Row],[bankh]]</f>
        <v>14</v>
      </c>
    </row>
    <row r="23" spans="1:11" x14ac:dyDescent="0.25">
      <c r="A23" s="1">
        <v>21</v>
      </c>
      <c r="B23" s="1" t="s">
        <v>26</v>
      </c>
      <c r="C23" s="1" t="str">
        <f>DEC2HEX(HEX2DEC("20010") + (HEX2DEC("400") * Table1[[#This Row],[bank]]))</f>
        <v>25410</v>
      </c>
      <c r="D23" s="1"/>
      <c r="E23" s="1" t="s">
        <v>225</v>
      </c>
      <c r="F23" s="2" t="s">
        <v>143</v>
      </c>
      <c r="G23" s="1" t="str">
        <f>CONCATENATE("names.append('",Table1[[#This Row],[name]],"')")</f>
        <v>names.append('GiantTower_BB')</v>
      </c>
      <c r="H23" s="1" t="str">
        <f>CONCATENATE(".incbin ""chr/",Table1[[#This Row],[name]],".chr""")</f>
        <v>.incbin "chr/GiantTower_BB.chr"</v>
      </c>
      <c r="I23" s="1" t="str">
        <f>CONCATENATE("chr",Table1[[#This Row],[name]],"_ID")</f>
        <v>chrGiantTower_BB_ID</v>
      </c>
      <c r="J23" s="3" t="str">
        <f>CONCATENATE(Table1[[#This Row],[asmid]]," = $",Table1[[#This Row],[bankh]])</f>
        <v>chrGiantTower_BB_ID = $15</v>
      </c>
      <c r="K23" s="3" t="str">
        <f>Table1[[#This Row],[bankh]]</f>
        <v>15</v>
      </c>
    </row>
    <row r="24" spans="1:11" x14ac:dyDescent="0.25">
      <c r="A24" s="1">
        <v>22</v>
      </c>
      <c r="B24" s="1" t="s">
        <v>27</v>
      </c>
      <c r="C24" s="1" t="str">
        <f>DEC2HEX(HEX2DEC("20010") + (HEX2DEC("400") * Table1[[#This Row],[bank]]))</f>
        <v>25810</v>
      </c>
      <c r="D24" s="1"/>
      <c r="E24" s="1" t="s">
        <v>226</v>
      </c>
      <c r="F24" s="2" t="s">
        <v>143</v>
      </c>
      <c r="G24" s="1" t="str">
        <f>CONCATENATE("names.append('",Table1[[#This Row],[name]],"')")</f>
        <v>names.append('GiantTower_CA')</v>
      </c>
      <c r="H24" s="1" t="str">
        <f>CONCATENATE(".incbin ""chr/",Table1[[#This Row],[name]],".chr""")</f>
        <v>.incbin "chr/GiantTower_CA.chr"</v>
      </c>
      <c r="I24" s="1" t="str">
        <f>CONCATENATE("chr",Table1[[#This Row],[name]],"_ID")</f>
        <v>chrGiantTower_CA_ID</v>
      </c>
      <c r="J24" s="3" t="str">
        <f>CONCATENATE(Table1[[#This Row],[asmid]]," = $",Table1[[#This Row],[bankh]])</f>
        <v>chrGiantTower_CA_ID = $16</v>
      </c>
      <c r="K24" s="3" t="str">
        <f>Table1[[#This Row],[bankh]]</f>
        <v>16</v>
      </c>
    </row>
    <row r="25" spans="1:11" x14ac:dyDescent="0.25">
      <c r="A25" s="1">
        <v>23</v>
      </c>
      <c r="B25" s="1" t="s">
        <v>28</v>
      </c>
      <c r="C25" s="1" t="str">
        <f>DEC2HEX(HEX2DEC("20010") + (HEX2DEC("400") * Table1[[#This Row],[bank]]))</f>
        <v>25C10</v>
      </c>
      <c r="D25" s="1"/>
      <c r="E25" s="1" t="s">
        <v>227</v>
      </c>
      <c r="F25" s="2" t="s">
        <v>143</v>
      </c>
      <c r="G25" s="1" t="str">
        <f>CONCATENATE("names.append('",Table1[[#This Row],[name]],"')")</f>
        <v>names.append('GiantTower_CB')</v>
      </c>
      <c r="H25" s="1" t="str">
        <f>CONCATENATE(".incbin ""chr/",Table1[[#This Row],[name]],".chr""")</f>
        <v>.incbin "chr/GiantTower_CB.chr"</v>
      </c>
      <c r="I25" s="1" t="str">
        <f>CONCATENATE("chr",Table1[[#This Row],[name]],"_ID")</f>
        <v>chrGiantTower_CB_ID</v>
      </c>
      <c r="J25" s="3" t="str">
        <f>CONCATENATE(Table1[[#This Row],[asmid]]," = $",Table1[[#This Row],[bankh]])</f>
        <v>chrGiantTower_CB_ID = $17</v>
      </c>
      <c r="K25" s="3" t="str">
        <f>Table1[[#This Row],[bankh]]</f>
        <v>17</v>
      </c>
    </row>
    <row r="26" spans="1:11" x14ac:dyDescent="0.25">
      <c r="A26" s="1">
        <v>24</v>
      </c>
      <c r="B26" s="1" t="s">
        <v>29</v>
      </c>
      <c r="C26" s="1" t="str">
        <f>DEC2HEX(HEX2DEC("20010") + (HEX2DEC("400") * Table1[[#This Row],[bank]]))</f>
        <v>26010</v>
      </c>
      <c r="D26" s="1"/>
      <c r="E26" s="1" t="s">
        <v>228</v>
      </c>
      <c r="F26" s="2" t="s">
        <v>140</v>
      </c>
      <c r="G26" s="1" t="str">
        <f>CONCATENATE("names.append('",Table1[[#This Row],[name]],"')")</f>
        <v>names.append('Fans_AA')</v>
      </c>
      <c r="H26" s="1" t="str">
        <f>CONCATENATE(".incbin ""chr/",Table1[[#This Row],[name]],".chr""")</f>
        <v>.incbin "chr/Fans_AA.chr"</v>
      </c>
      <c r="I26" s="1" t="str">
        <f>CONCATENATE("chr",Table1[[#This Row],[name]],"_ID")</f>
        <v>chrFans_AA_ID</v>
      </c>
      <c r="J26" s="3" t="str">
        <f>CONCATENATE(Table1[[#This Row],[asmid]]," = $",Table1[[#This Row],[bankh]])</f>
        <v>chrFans_AA_ID = $18</v>
      </c>
      <c r="K26" s="3" t="str">
        <f>Table1[[#This Row],[bankh]]</f>
        <v>18</v>
      </c>
    </row>
    <row r="27" spans="1:11" x14ac:dyDescent="0.25">
      <c r="A27" s="1">
        <v>25</v>
      </c>
      <c r="B27" s="1" t="s">
        <v>30</v>
      </c>
      <c r="C27" s="1" t="str">
        <f>DEC2HEX(HEX2DEC("20010") + (HEX2DEC("400") * Table1[[#This Row],[bank]]))</f>
        <v>26410</v>
      </c>
      <c r="D27" s="1"/>
      <c r="E27" s="1" t="s">
        <v>229</v>
      </c>
      <c r="F27" s="2" t="s">
        <v>140</v>
      </c>
      <c r="G27" s="1" t="str">
        <f>CONCATENATE("names.append('",Table1[[#This Row],[name]],"')")</f>
        <v>names.append('Fans_AB')</v>
      </c>
      <c r="H27" s="1" t="str">
        <f>CONCATENATE(".incbin ""chr/",Table1[[#This Row],[name]],".chr""")</f>
        <v>.incbin "chr/Fans_AB.chr"</v>
      </c>
      <c r="I27" s="1" t="str">
        <f>CONCATENATE("chr",Table1[[#This Row],[name]],"_ID")</f>
        <v>chrFans_AB_ID</v>
      </c>
      <c r="J27" s="3" t="str">
        <f>CONCATENATE(Table1[[#This Row],[asmid]]," = $",Table1[[#This Row],[bankh]])</f>
        <v>chrFans_AB_ID = $19</v>
      </c>
      <c r="K27" s="3" t="str">
        <f>Table1[[#This Row],[bankh]]</f>
        <v>19</v>
      </c>
    </row>
    <row r="28" spans="1:11" x14ac:dyDescent="0.25">
      <c r="A28" s="1">
        <v>26</v>
      </c>
      <c r="B28" s="1" t="s">
        <v>31</v>
      </c>
      <c r="C28" s="1" t="str">
        <f>DEC2HEX(HEX2DEC("20010") + (HEX2DEC("400") * Table1[[#This Row],[bank]]))</f>
        <v>26810</v>
      </c>
      <c r="D28" s="1"/>
      <c r="E28" s="1" t="s">
        <v>230</v>
      </c>
      <c r="F28" s="2" t="s">
        <v>141</v>
      </c>
      <c r="G28" s="1" t="str">
        <f>CONCATENATE("names.append('",Table1[[#This Row],[name]],"')")</f>
        <v>names.append('Fans_BA')</v>
      </c>
      <c r="H28" s="1" t="str">
        <f>CONCATENATE(".incbin ""chr/",Table1[[#This Row],[name]],".chr""")</f>
        <v>.incbin "chr/Fans_BA.chr"</v>
      </c>
      <c r="I28" s="1" t="str">
        <f>CONCATENATE("chr",Table1[[#This Row],[name]],"_ID")</f>
        <v>chrFans_BA_ID</v>
      </c>
      <c r="J28" s="3" t="str">
        <f>CONCATENATE(Table1[[#This Row],[asmid]]," = $",Table1[[#This Row],[bankh]])</f>
        <v>chrFans_BA_ID = $1A</v>
      </c>
      <c r="K28" s="3" t="str">
        <f>Table1[[#This Row],[bankh]]</f>
        <v>1A</v>
      </c>
    </row>
    <row r="29" spans="1:11" x14ac:dyDescent="0.25">
      <c r="A29" s="1">
        <v>27</v>
      </c>
      <c r="B29" s="1" t="s">
        <v>32</v>
      </c>
      <c r="C29" s="1" t="str">
        <f>DEC2HEX(HEX2DEC("20010") + (HEX2DEC("400") * Table1[[#This Row],[bank]]))</f>
        <v>26C10</v>
      </c>
      <c r="D29" s="1"/>
      <c r="E29" s="1" t="s">
        <v>231</v>
      </c>
      <c r="F29" s="2" t="s">
        <v>141</v>
      </c>
      <c r="G29" s="1" t="str">
        <f>CONCATENATE("names.append('",Table1[[#This Row],[name]],"')")</f>
        <v>names.append('Fans_BB')</v>
      </c>
      <c r="H29" s="1" t="str">
        <f>CONCATENATE(".incbin ""chr/",Table1[[#This Row],[name]],".chr""")</f>
        <v>.incbin "chr/Fans_BB.chr"</v>
      </c>
      <c r="I29" s="1" t="str">
        <f>CONCATENATE("chr",Table1[[#This Row],[name]],"_ID")</f>
        <v>chrFans_BB_ID</v>
      </c>
      <c r="J29" s="3" t="str">
        <f>CONCATENATE(Table1[[#This Row],[asmid]]," = $",Table1[[#This Row],[bankh]])</f>
        <v>chrFans_BB_ID = $1B</v>
      </c>
      <c r="K29" s="3" t="str">
        <f>Table1[[#This Row],[bankh]]</f>
        <v>1B</v>
      </c>
    </row>
    <row r="30" spans="1:11" x14ac:dyDescent="0.25">
      <c r="A30" s="1">
        <v>28</v>
      </c>
      <c r="B30" s="1" t="s">
        <v>33</v>
      </c>
      <c r="C30" s="1" t="str">
        <f>DEC2HEX(HEX2DEC("20010") + (HEX2DEC("400") * Table1[[#This Row],[bank]]))</f>
        <v>27010</v>
      </c>
      <c r="D30" s="1"/>
      <c r="E30" s="1" t="s">
        <v>232</v>
      </c>
      <c r="F30" s="2" t="s">
        <v>142</v>
      </c>
      <c r="G30" s="1" t="str">
        <f>CONCATENATE("names.append('",Table1[[#This Row],[name]],"')")</f>
        <v>names.append('Fans_CA')</v>
      </c>
      <c r="H30" s="1" t="str">
        <f>CONCATENATE(".incbin ""chr/",Table1[[#This Row],[name]],".chr""")</f>
        <v>.incbin "chr/Fans_CA.chr"</v>
      </c>
      <c r="I30" s="1" t="str">
        <f>CONCATENATE("chr",Table1[[#This Row],[name]],"_ID")</f>
        <v>chrFans_CA_ID</v>
      </c>
      <c r="J30" s="3" t="str">
        <f>CONCATENATE(Table1[[#This Row],[asmid]]," = $",Table1[[#This Row],[bankh]])</f>
        <v>chrFans_CA_ID = $1C</v>
      </c>
      <c r="K30" s="3" t="str">
        <f>Table1[[#This Row],[bankh]]</f>
        <v>1C</v>
      </c>
    </row>
    <row r="31" spans="1:11" x14ac:dyDescent="0.25">
      <c r="A31" s="1">
        <v>29</v>
      </c>
      <c r="B31" s="1" t="s">
        <v>34</v>
      </c>
      <c r="C31" s="1" t="str">
        <f>DEC2HEX(HEX2DEC("20010") + (HEX2DEC("400") * Table1[[#This Row],[bank]]))</f>
        <v>27410</v>
      </c>
      <c r="D31" s="1"/>
      <c r="E31" s="1" t="s">
        <v>233</v>
      </c>
      <c r="F31" s="2" t="s">
        <v>142</v>
      </c>
      <c r="G31" s="1" t="str">
        <f>CONCATENATE("names.append('",Table1[[#This Row],[name]],"')")</f>
        <v>names.append('Fans_CB')</v>
      </c>
      <c r="H31" s="1" t="str">
        <f>CONCATENATE(".incbin ""chr/",Table1[[#This Row],[name]],".chr""")</f>
        <v>.incbin "chr/Fans_CB.chr"</v>
      </c>
      <c r="I31" s="1" t="str">
        <f>CONCATENATE("chr",Table1[[#This Row],[name]],"_ID")</f>
        <v>chrFans_CB_ID</v>
      </c>
      <c r="J31" s="3" t="str">
        <f>CONCATENATE(Table1[[#This Row],[asmid]]," = $",Table1[[#This Row],[bankh]])</f>
        <v>chrFans_CB_ID = $1D</v>
      </c>
      <c r="K31" s="3" t="str">
        <f>Table1[[#This Row],[bankh]]</f>
        <v>1D</v>
      </c>
    </row>
    <row r="32" spans="1:11" x14ac:dyDescent="0.25">
      <c r="A32" s="1">
        <v>30</v>
      </c>
      <c r="B32" s="1" t="s">
        <v>35</v>
      </c>
      <c r="C32" s="1" t="str">
        <f>DEC2HEX(HEX2DEC("20010") + (HEX2DEC("400") * Table1[[#This Row],[bank]]))</f>
        <v>27810</v>
      </c>
      <c r="D32" s="1"/>
      <c r="E32" s="1" t="s">
        <v>207</v>
      </c>
      <c r="F32" s="2" t="s">
        <v>144</v>
      </c>
      <c r="G32" s="1" t="str">
        <f>CONCATENATE("names.append('",Table1[[#This Row],[name]],"')")</f>
        <v>names.append('Boomtown_A')</v>
      </c>
      <c r="H32" s="1" t="str">
        <f>CONCATENATE(".incbin ""chr/",Table1[[#This Row],[name]],".chr""")</f>
        <v>.incbin "chr/Boomtown_A.chr"</v>
      </c>
      <c r="I32" s="1" t="str">
        <f>CONCATENATE("chr",Table1[[#This Row],[name]],"_ID")</f>
        <v>chrBoomtown_A_ID</v>
      </c>
      <c r="J32" s="3" t="str">
        <f>CONCATENATE(Table1[[#This Row],[asmid]]," = $",Table1[[#This Row],[bankh]])</f>
        <v>chrBoomtown_A_ID = $1E</v>
      </c>
      <c r="K32" s="3" t="str">
        <f>Table1[[#This Row],[bankh]]</f>
        <v>1E</v>
      </c>
    </row>
    <row r="33" spans="1:11" x14ac:dyDescent="0.25">
      <c r="A33" s="1">
        <v>31</v>
      </c>
      <c r="B33" s="1" t="s">
        <v>36</v>
      </c>
      <c r="C33" s="1" t="str">
        <f>DEC2HEX(HEX2DEC("20010") + (HEX2DEC("400") * Table1[[#This Row],[bank]]))</f>
        <v>27C10</v>
      </c>
      <c r="D33" s="1"/>
      <c r="E33" s="1" t="s">
        <v>215</v>
      </c>
      <c r="F33" s="2" t="s">
        <v>144</v>
      </c>
      <c r="G33" s="1" t="str">
        <f>CONCATENATE("names.append('",Table1[[#This Row],[name]],"')")</f>
        <v>names.append('Boomtown_B')</v>
      </c>
      <c r="H33" s="1" t="str">
        <f>CONCATENATE(".incbin ""chr/",Table1[[#This Row],[name]],".chr""")</f>
        <v>.incbin "chr/Boomtown_B.chr"</v>
      </c>
      <c r="I33" s="1" t="str">
        <f>CONCATENATE("chr",Table1[[#This Row],[name]],"_ID")</f>
        <v>chrBoomtown_B_ID</v>
      </c>
      <c r="J33" s="3" t="str">
        <f>CONCATENATE(Table1[[#This Row],[asmid]]," = $",Table1[[#This Row],[bankh]])</f>
        <v>chrBoomtown_B_ID = $1F</v>
      </c>
      <c r="K33" s="3" t="str">
        <f>Table1[[#This Row],[bankh]]</f>
        <v>1F</v>
      </c>
    </row>
    <row r="34" spans="1:11" x14ac:dyDescent="0.25">
      <c r="A34" s="1">
        <v>32</v>
      </c>
      <c r="B34" s="1" t="s">
        <v>37</v>
      </c>
      <c r="C34" s="1" t="str">
        <f>DEC2HEX(HEX2DEC("20010") + (HEX2DEC("400") * Table1[[#This Row],[bank]]))</f>
        <v>28010</v>
      </c>
      <c r="D34" s="1"/>
      <c r="E34" s="1" t="s">
        <v>236</v>
      </c>
      <c r="F34" s="2" t="s">
        <v>145</v>
      </c>
      <c r="G34" s="1" t="str">
        <f>CONCATENATE("names.append('",Table1[[#This Row],[name]],"')")</f>
        <v>names.append('ShiningLake_AA')</v>
      </c>
      <c r="H34" s="1" t="str">
        <f>CONCATENATE(".incbin ""chr/",Table1[[#This Row],[name]],".chr""")</f>
        <v>.incbin "chr/ShiningLake_AA.chr"</v>
      </c>
      <c r="I34" s="1" t="str">
        <f>CONCATENATE("chr",Table1[[#This Row],[name]],"_ID")</f>
        <v>chrShiningLake_AA_ID</v>
      </c>
      <c r="J34" s="3" t="str">
        <f>CONCATENATE(Table1[[#This Row],[asmid]]," = $",Table1[[#This Row],[bankh]])</f>
        <v>chrShiningLake_AA_ID = $20</v>
      </c>
      <c r="K34" s="3" t="str">
        <f>Table1[[#This Row],[bankh]]</f>
        <v>20</v>
      </c>
    </row>
    <row r="35" spans="1:11" x14ac:dyDescent="0.25">
      <c r="A35" s="1">
        <v>33</v>
      </c>
      <c r="B35" s="1" t="s">
        <v>38</v>
      </c>
      <c r="C35" s="1" t="str">
        <f>DEC2HEX(HEX2DEC("20010") + (HEX2DEC("400") * Table1[[#This Row],[bank]]))</f>
        <v>28410</v>
      </c>
      <c r="D35" s="1"/>
      <c r="E35" s="1" t="s">
        <v>237</v>
      </c>
      <c r="F35" s="2" t="s">
        <v>145</v>
      </c>
      <c r="G35" s="1" t="str">
        <f>CONCATENATE("names.append('",Table1[[#This Row],[name]],"')")</f>
        <v>names.append('ShiningLake_AB')</v>
      </c>
      <c r="H35" s="1" t="str">
        <f>CONCATENATE(".incbin ""chr/",Table1[[#This Row],[name]],".chr""")</f>
        <v>.incbin "chr/ShiningLake_AB.chr"</v>
      </c>
      <c r="I35" s="1" t="str">
        <f>CONCATENATE("chr",Table1[[#This Row],[name]],"_ID")</f>
        <v>chrShiningLake_AB_ID</v>
      </c>
      <c r="J35" s="3" t="str">
        <f>CONCATENATE(Table1[[#This Row],[asmid]]," = $",Table1[[#This Row],[bankh]])</f>
        <v>chrShiningLake_AB_ID = $21</v>
      </c>
      <c r="K35" s="3" t="str">
        <f>Table1[[#This Row],[bankh]]</f>
        <v>21</v>
      </c>
    </row>
    <row r="36" spans="1:11" x14ac:dyDescent="0.25">
      <c r="A36" s="1">
        <v>34</v>
      </c>
      <c r="B36" s="1" t="s">
        <v>39</v>
      </c>
      <c r="C36" s="1" t="str">
        <f>DEC2HEX(HEX2DEC("20010") + (HEX2DEC("400") * Table1[[#This Row],[bank]]))</f>
        <v>28810</v>
      </c>
      <c r="D36" s="1" t="s">
        <v>331</v>
      </c>
      <c r="E36" s="1" t="s">
        <v>238</v>
      </c>
      <c r="F36" s="2" t="s">
        <v>234</v>
      </c>
      <c r="G36" s="1" t="str">
        <f>CONCATENATE("names.append('",Table1[[#This Row],[name]],"')")</f>
        <v>names.append('ShiningLake_BA')</v>
      </c>
      <c r="H36" s="1" t="str">
        <f>CONCATENATE(".incbin ""chr/",Table1[[#This Row],[name]],".chr""")</f>
        <v>.incbin "chr/ShiningLake_BA.chr"</v>
      </c>
      <c r="I36" s="1" t="str">
        <f>CONCATENATE("chr",Table1[[#This Row],[name]],"_ID")</f>
        <v>chrShiningLake_BA_ID</v>
      </c>
      <c r="J36" s="3" t="str">
        <f>CONCATENATE(Table1[[#This Row],[asmid]]," = $",Table1[[#This Row],[bankh]])</f>
        <v>chrShiningLake_BA_ID = $22</v>
      </c>
      <c r="K36" s="3" t="str">
        <f>Table1[[#This Row],[bankh]]</f>
        <v>22</v>
      </c>
    </row>
    <row r="37" spans="1:11" x14ac:dyDescent="0.25">
      <c r="A37" s="1">
        <v>35</v>
      </c>
      <c r="B37" s="1" t="s">
        <v>40</v>
      </c>
      <c r="C37" s="1" t="str">
        <f>DEC2HEX(HEX2DEC("20010") + (HEX2DEC("400") * Table1[[#This Row],[bank]]))</f>
        <v>28C10</v>
      </c>
      <c r="D37" s="1"/>
      <c r="E37" s="1" t="s">
        <v>239</v>
      </c>
      <c r="F37" s="2" t="s">
        <v>145</v>
      </c>
      <c r="G37" s="1" t="str">
        <f>CONCATENATE("names.append('",Table1[[#This Row],[name]],"')")</f>
        <v>names.append('ShiningLake_BB')</v>
      </c>
      <c r="H37" s="1" t="str">
        <f>CONCATENATE(".incbin ""chr/",Table1[[#This Row],[name]],".chr""")</f>
        <v>.incbin "chr/ShiningLake_BB.chr"</v>
      </c>
      <c r="I37" s="1" t="str">
        <f>CONCATENATE("chr",Table1[[#This Row],[name]],"_ID")</f>
        <v>chrShiningLake_BB_ID</v>
      </c>
      <c r="J37" s="3" t="str">
        <f>CONCATENATE(Table1[[#This Row],[asmid]]," = $",Table1[[#This Row],[bankh]])</f>
        <v>chrShiningLake_BB_ID = $23</v>
      </c>
      <c r="K37" s="3" t="str">
        <f>Table1[[#This Row],[bankh]]</f>
        <v>23</v>
      </c>
    </row>
    <row r="38" spans="1:11" x14ac:dyDescent="0.25">
      <c r="A38" s="1">
        <v>36</v>
      </c>
      <c r="B38" s="1" t="s">
        <v>41</v>
      </c>
      <c r="C38" s="1" t="str">
        <f>DEC2HEX(HEX2DEC("20010") + (HEX2DEC("400") * Table1[[#This Row],[bank]]))</f>
        <v>29010</v>
      </c>
      <c r="D38" s="1"/>
      <c r="E38" s="1" t="s">
        <v>240</v>
      </c>
      <c r="F38" s="2" t="s">
        <v>235</v>
      </c>
      <c r="G38" s="1" t="str">
        <f>CONCATENATE("names.append('",Table1[[#This Row],[name]],"')")</f>
        <v>names.append('ShiningLake_CA')</v>
      </c>
      <c r="H38" s="1" t="str">
        <f>CONCATENATE(".incbin ""chr/",Table1[[#This Row],[name]],".chr""")</f>
        <v>.incbin "chr/ShiningLake_CA.chr"</v>
      </c>
      <c r="I38" s="1" t="str">
        <f>CONCATENATE("chr",Table1[[#This Row],[name]],"_ID")</f>
        <v>chrShiningLake_CA_ID</v>
      </c>
      <c r="J38" s="3" t="str">
        <f>CONCATENATE(Table1[[#This Row],[asmid]]," = $",Table1[[#This Row],[bankh]])</f>
        <v>chrShiningLake_CA_ID = $24</v>
      </c>
      <c r="K38" s="3" t="str">
        <f>Table1[[#This Row],[bankh]]</f>
        <v>24</v>
      </c>
    </row>
    <row r="39" spans="1:11" x14ac:dyDescent="0.25">
      <c r="A39" s="1">
        <v>37</v>
      </c>
      <c r="B39" s="1" t="s">
        <v>42</v>
      </c>
      <c r="C39" s="1" t="str">
        <f>DEC2HEX(HEX2DEC("20010") + (HEX2DEC("400") * Table1[[#This Row],[bank]]))</f>
        <v>29410</v>
      </c>
      <c r="D39" s="1"/>
      <c r="E39" s="1" t="s">
        <v>241</v>
      </c>
      <c r="F39" s="2" t="s">
        <v>235</v>
      </c>
      <c r="G39" s="1" t="str">
        <f>CONCATENATE("names.append('",Table1[[#This Row],[name]],"')")</f>
        <v>names.append('ShiningLake_CB')</v>
      </c>
      <c r="H39" s="1" t="str">
        <f>CONCATENATE(".incbin ""chr/",Table1[[#This Row],[name]],".chr""")</f>
        <v>.incbin "chr/ShiningLake_CB.chr"</v>
      </c>
      <c r="I39" s="1" t="str">
        <f>CONCATENATE("chr",Table1[[#This Row],[name]],"_ID")</f>
        <v>chrShiningLake_CB_ID</v>
      </c>
      <c r="J39" s="3" t="str">
        <f>CONCATENATE(Table1[[#This Row],[asmid]]," = $",Table1[[#This Row],[bankh]])</f>
        <v>chrShiningLake_CB_ID = $25</v>
      </c>
      <c r="K39" s="3" t="str">
        <f>Table1[[#This Row],[bankh]]</f>
        <v>25</v>
      </c>
    </row>
    <row r="40" spans="1:11" x14ac:dyDescent="0.25">
      <c r="A40" s="1">
        <v>38</v>
      </c>
      <c r="B40" s="1" t="s">
        <v>43</v>
      </c>
      <c r="C40" s="1" t="str">
        <f>DEC2HEX(HEX2DEC("20010") + (HEX2DEC("400") * Table1[[#This Row],[bank]]))</f>
        <v>29810</v>
      </c>
      <c r="D40" s="1"/>
      <c r="E40" s="1" t="s">
        <v>242</v>
      </c>
      <c r="F40" s="2" t="s">
        <v>146</v>
      </c>
      <c r="G40" s="1" t="str">
        <f>CONCATENATE("names.append('",Table1[[#This Row],[name]],"')")</f>
        <v>names.append('FireCastle_AA')</v>
      </c>
      <c r="H40" s="1" t="str">
        <f>CONCATENATE(".incbin ""chr/",Table1[[#This Row],[name]],".chr""")</f>
        <v>.incbin "chr/FireCastle_AA.chr"</v>
      </c>
      <c r="I40" s="1" t="str">
        <f>CONCATENATE("chr",Table1[[#This Row],[name]],"_ID")</f>
        <v>chrFireCastle_AA_ID</v>
      </c>
      <c r="J40" s="3" t="str">
        <f>CONCATENATE(Table1[[#This Row],[asmid]]," = $",Table1[[#This Row],[bankh]])</f>
        <v>chrFireCastle_AA_ID = $26</v>
      </c>
      <c r="K40" s="3" t="str">
        <f>Table1[[#This Row],[bankh]]</f>
        <v>26</v>
      </c>
    </row>
    <row r="41" spans="1:11" x14ac:dyDescent="0.25">
      <c r="A41" s="1">
        <v>39</v>
      </c>
      <c r="B41" s="1" t="s">
        <v>44</v>
      </c>
      <c r="C41" s="1" t="str">
        <f>DEC2HEX(HEX2DEC("20010") + (HEX2DEC("400") * Table1[[#This Row],[bank]]))</f>
        <v>29C10</v>
      </c>
      <c r="D41" s="1"/>
      <c r="E41" s="1" t="s">
        <v>243</v>
      </c>
      <c r="F41" s="2" t="s">
        <v>146</v>
      </c>
      <c r="G41" s="1" t="str">
        <f>CONCATENATE("names.append('",Table1[[#This Row],[name]],"')")</f>
        <v>names.append('FireCastle_AB')</v>
      </c>
      <c r="H41" s="1" t="str">
        <f>CONCATENATE(".incbin ""chr/",Table1[[#This Row],[name]],".chr""")</f>
        <v>.incbin "chr/FireCastle_AB.chr"</v>
      </c>
      <c r="I41" s="1" t="str">
        <f>CONCATENATE("chr",Table1[[#This Row],[name]],"_ID")</f>
        <v>chrFireCastle_AB_ID</v>
      </c>
      <c r="J41" s="3" t="str">
        <f>CONCATENATE(Table1[[#This Row],[asmid]]," = $",Table1[[#This Row],[bankh]])</f>
        <v>chrFireCastle_AB_ID = $27</v>
      </c>
      <c r="K41" s="3" t="str">
        <f>Table1[[#This Row],[bankh]]</f>
        <v>27</v>
      </c>
    </row>
    <row r="42" spans="1:11" x14ac:dyDescent="0.25">
      <c r="A42" s="1">
        <v>40</v>
      </c>
      <c r="B42" s="1" t="s">
        <v>45</v>
      </c>
      <c r="C42" s="1" t="str">
        <f>DEC2HEX(HEX2DEC("20010") + (HEX2DEC("400") * Table1[[#This Row],[bank]]))</f>
        <v>2A010</v>
      </c>
      <c r="D42" s="1"/>
      <c r="E42" s="1" t="s">
        <v>244</v>
      </c>
      <c r="F42" s="2" t="s">
        <v>146</v>
      </c>
      <c r="G42" s="1" t="str">
        <f>CONCATENATE("names.append('",Table1[[#This Row],[name]],"')")</f>
        <v>names.append('FireCastle_BA')</v>
      </c>
      <c r="H42" s="1" t="str">
        <f>CONCATENATE(".incbin ""chr/",Table1[[#This Row],[name]],".chr""")</f>
        <v>.incbin "chr/FireCastle_BA.chr"</v>
      </c>
      <c r="I42" s="1" t="str">
        <f>CONCATENATE("chr",Table1[[#This Row],[name]],"_ID")</f>
        <v>chrFireCastle_BA_ID</v>
      </c>
      <c r="J42" s="3" t="str">
        <f>CONCATENATE(Table1[[#This Row],[asmid]]," = $",Table1[[#This Row],[bankh]])</f>
        <v>chrFireCastle_BA_ID = $28</v>
      </c>
      <c r="K42" s="3" t="str">
        <f>Table1[[#This Row],[bankh]]</f>
        <v>28</v>
      </c>
    </row>
    <row r="43" spans="1:11" x14ac:dyDescent="0.25">
      <c r="A43" s="1">
        <v>41</v>
      </c>
      <c r="B43" s="1" t="s">
        <v>46</v>
      </c>
      <c r="C43" s="1" t="str">
        <f>DEC2HEX(HEX2DEC("20010") + (HEX2DEC("400") * Table1[[#This Row],[bank]]))</f>
        <v>2A410</v>
      </c>
      <c r="D43" s="1"/>
      <c r="E43" s="1" t="s">
        <v>245</v>
      </c>
      <c r="F43" s="2" t="s">
        <v>146</v>
      </c>
      <c r="G43" s="1" t="str">
        <f>CONCATENATE("names.append('",Table1[[#This Row],[name]],"')")</f>
        <v>names.append('FireCastle_BB')</v>
      </c>
      <c r="H43" s="1" t="str">
        <f>CONCATENATE(".incbin ""chr/",Table1[[#This Row],[name]],".chr""")</f>
        <v>.incbin "chr/FireCastle_BB.chr"</v>
      </c>
      <c r="I43" s="1" t="str">
        <f>CONCATENATE("chr",Table1[[#This Row],[name]],"_ID")</f>
        <v>chrFireCastle_BB_ID</v>
      </c>
      <c r="J43" s="3" t="str">
        <f>CONCATENATE(Table1[[#This Row],[asmid]]," = $",Table1[[#This Row],[bankh]])</f>
        <v>chrFireCastle_BB_ID = $29</v>
      </c>
      <c r="K43" s="3" t="str">
        <f>Table1[[#This Row],[bankh]]</f>
        <v>29</v>
      </c>
    </row>
    <row r="44" spans="1:11" x14ac:dyDescent="0.25">
      <c r="A44" s="1">
        <v>42</v>
      </c>
      <c r="B44" s="1" t="s">
        <v>47</v>
      </c>
      <c r="C44" s="1" t="str">
        <f>DEC2HEX(HEX2DEC("20010") + (HEX2DEC("400") * Table1[[#This Row],[bank]]))</f>
        <v>2A810</v>
      </c>
      <c r="D44" s="1"/>
      <c r="E44" s="1" t="s">
        <v>246</v>
      </c>
      <c r="F44" s="2" t="s">
        <v>147</v>
      </c>
      <c r="G44" s="1" t="str">
        <f>CONCATENATE("names.append('",Table1[[#This Row],[name]],"')")</f>
        <v>names.append('BossCave_A')</v>
      </c>
      <c r="H44" s="1" t="str">
        <f>CONCATENATE(".incbin ""chr/",Table1[[#This Row],[name]],".chr""")</f>
        <v>.incbin "chr/BossCave_A.chr"</v>
      </c>
      <c r="I44" s="1" t="str">
        <f>CONCATENATE("chr",Table1[[#This Row],[name]],"_ID")</f>
        <v>chrBossCave_A_ID</v>
      </c>
      <c r="J44" s="3" t="str">
        <f>CONCATENATE(Table1[[#This Row],[asmid]]," = $",Table1[[#This Row],[bankh]])</f>
        <v>chrBossCave_A_ID = $2A</v>
      </c>
      <c r="K44" s="3" t="str">
        <f>Table1[[#This Row],[bankh]]</f>
        <v>2A</v>
      </c>
    </row>
    <row r="45" spans="1:11" x14ac:dyDescent="0.25">
      <c r="A45" s="1">
        <v>43</v>
      </c>
      <c r="B45" s="1" t="s">
        <v>48</v>
      </c>
      <c r="C45" s="1" t="str">
        <f>DEC2HEX(HEX2DEC("20010") + (HEX2DEC("400") * Table1[[#This Row],[bank]]))</f>
        <v>2AC10</v>
      </c>
      <c r="D45" s="1"/>
      <c r="E45" s="1" t="s">
        <v>247</v>
      </c>
      <c r="F45" s="2" t="s">
        <v>147</v>
      </c>
      <c r="G45" s="1" t="str">
        <f>CONCATENATE("names.append('",Table1[[#This Row],[name]],"')")</f>
        <v>names.append('BossCave_B')</v>
      </c>
      <c r="H45" s="1" t="str">
        <f>CONCATENATE(".incbin ""chr/",Table1[[#This Row],[name]],".chr""")</f>
        <v>.incbin "chr/BossCave_B.chr"</v>
      </c>
      <c r="I45" s="1" t="str">
        <f>CONCATENATE("chr",Table1[[#This Row],[name]],"_ID")</f>
        <v>chrBossCave_B_ID</v>
      </c>
      <c r="J45" s="3" t="str">
        <f>CONCATENATE(Table1[[#This Row],[asmid]]," = $",Table1[[#This Row],[bankh]])</f>
        <v>chrBossCave_B_ID = $2B</v>
      </c>
      <c r="K45" s="3" t="str">
        <f>Table1[[#This Row],[bankh]]</f>
        <v>2B</v>
      </c>
    </row>
    <row r="46" spans="1:11" x14ac:dyDescent="0.25">
      <c r="A46" s="1">
        <v>44</v>
      </c>
      <c r="B46" s="1" t="s">
        <v>49</v>
      </c>
      <c r="C46" s="1" t="str">
        <f>DEC2HEX(HEX2DEC("20010") + (HEX2DEC("400") * Table1[[#This Row],[bank]]))</f>
        <v>2B010</v>
      </c>
      <c r="D46" s="1"/>
      <c r="E46" s="1" t="s">
        <v>249</v>
      </c>
      <c r="F46" s="2" t="s">
        <v>160</v>
      </c>
      <c r="G46" s="1" t="str">
        <f>CONCATENATE("names.append('",Table1[[#This Row],[name]],"')")</f>
        <v>names.append('Items')</v>
      </c>
      <c r="H46" s="1" t="str">
        <f>CONCATENATE(".incbin ""chr/",Table1[[#This Row],[name]],".chr""")</f>
        <v>.incbin "chr/Items.chr"</v>
      </c>
      <c r="I46" s="1" t="str">
        <f>CONCATENATE("chr",Table1[[#This Row],[name]],"_ID")</f>
        <v>chrItems_ID</v>
      </c>
      <c r="J46" s="3" t="str">
        <f>CONCATENATE(Table1[[#This Row],[asmid]]," = $",Table1[[#This Row],[bankh]])</f>
        <v>chrItems_ID = $2C</v>
      </c>
      <c r="K46" s="3" t="str">
        <f>Table1[[#This Row],[bankh]]</f>
        <v>2C</v>
      </c>
    </row>
    <row r="47" spans="1:11" x14ac:dyDescent="0.25">
      <c r="A47" s="1">
        <v>45</v>
      </c>
      <c r="B47" s="1" t="s">
        <v>50</v>
      </c>
      <c r="C47" s="1" t="str">
        <f>DEC2HEX(HEX2DEC("20010") + (HEX2DEC("400") * Table1[[#This Row],[bank]]))</f>
        <v>2B410</v>
      </c>
      <c r="D47" s="1"/>
      <c r="E47" s="1" t="s">
        <v>250</v>
      </c>
      <c r="F47" s="2" t="s">
        <v>248</v>
      </c>
      <c r="G47" s="1" t="str">
        <f>CONCATENATE("names.append('",Table1[[#This Row],[name]],"')")</f>
        <v>names.append('GameOver')</v>
      </c>
      <c r="H47" s="1" t="str">
        <f>CONCATENATE(".incbin ""chr/",Table1[[#This Row],[name]],".chr""")</f>
        <v>.incbin "chr/GameOver.chr"</v>
      </c>
      <c r="I47" s="1" t="str">
        <f>CONCATENATE("chr",Table1[[#This Row],[name]],"_ID")</f>
        <v>chrGameOver_ID</v>
      </c>
      <c r="J47" s="3" t="str">
        <f>CONCATENATE(Table1[[#This Row],[asmid]]," = $",Table1[[#This Row],[bankh]])</f>
        <v>chrGameOver_ID = $2D</v>
      </c>
      <c r="K47" s="3" t="str">
        <f>Table1[[#This Row],[bankh]]</f>
        <v>2D</v>
      </c>
    </row>
    <row r="48" spans="1:11" x14ac:dyDescent="0.25">
      <c r="A48" s="1">
        <v>46</v>
      </c>
      <c r="B48" s="1" t="s">
        <v>51</v>
      </c>
      <c r="C48" s="1" t="str">
        <f>DEC2HEX(HEX2DEC("20010") + (HEX2DEC("400") * Table1[[#This Row],[bank]]))</f>
        <v>2B810</v>
      </c>
      <c r="D48" s="1"/>
      <c r="E48" s="1" t="s">
        <v>251</v>
      </c>
      <c r="F48" s="2" t="s">
        <v>148</v>
      </c>
      <c r="G48" s="1" t="str">
        <f>CONCATENATE("names.append('",Table1[[#This Row],[name]],"')")</f>
        <v>names.append('MissileTractor_AA')</v>
      </c>
      <c r="H48" s="1" t="str">
        <f>CONCATENATE(".incbin ""chr/",Table1[[#This Row],[name]],".chr""")</f>
        <v>.incbin "chr/MissileTractor_AA.chr"</v>
      </c>
      <c r="I48" s="1" t="str">
        <f>CONCATENATE("chr",Table1[[#This Row],[name]],"_ID")</f>
        <v>chrMissileTractor_AA_ID</v>
      </c>
      <c r="J48" s="3" t="str">
        <f>CONCATENATE(Table1[[#This Row],[asmid]]," = $",Table1[[#This Row],[bankh]])</f>
        <v>chrMissileTractor_AA_ID = $2E</v>
      </c>
      <c r="K48" s="3" t="str">
        <f>Table1[[#This Row],[bankh]]</f>
        <v>2E</v>
      </c>
    </row>
    <row r="49" spans="1:11" x14ac:dyDescent="0.25">
      <c r="A49" s="1">
        <v>47</v>
      </c>
      <c r="B49" s="1" t="s">
        <v>52</v>
      </c>
      <c r="C49" s="1" t="str">
        <f>DEC2HEX(HEX2DEC("20010") + (HEX2DEC("400") * Table1[[#This Row],[bank]]))</f>
        <v>2BC10</v>
      </c>
      <c r="D49" s="1"/>
      <c r="E49" s="1" t="s">
        <v>252</v>
      </c>
      <c r="F49" s="2" t="s">
        <v>148</v>
      </c>
      <c r="G49" s="1" t="str">
        <f>CONCATENATE("names.append('",Table1[[#This Row],[name]],"')")</f>
        <v>names.append('MissileTractor_AB')</v>
      </c>
      <c r="H49" s="1" t="str">
        <f>CONCATENATE(".incbin ""chr/",Table1[[#This Row],[name]],".chr""")</f>
        <v>.incbin "chr/MissileTractor_AB.chr"</v>
      </c>
      <c r="I49" s="1" t="str">
        <f>CONCATENATE("chr",Table1[[#This Row],[name]],"_ID")</f>
        <v>chrMissileTractor_AB_ID</v>
      </c>
      <c r="J49" s="3" t="str">
        <f>CONCATENATE(Table1[[#This Row],[asmid]]," = $",Table1[[#This Row],[bankh]])</f>
        <v>chrMissileTractor_AB_ID = $2F</v>
      </c>
      <c r="K49" s="3" t="str">
        <f>Table1[[#This Row],[bankh]]</f>
        <v>2F</v>
      </c>
    </row>
    <row r="50" spans="1:11" x14ac:dyDescent="0.25">
      <c r="A50" s="1">
        <v>48</v>
      </c>
      <c r="B50" s="1" t="s">
        <v>53</v>
      </c>
      <c r="C50" s="1" t="str">
        <f>DEC2HEX(HEX2DEC("20010") + (HEX2DEC("400") * Table1[[#This Row],[bank]]))</f>
        <v>2C010</v>
      </c>
      <c r="D50" s="1"/>
      <c r="E50" s="1" t="s">
        <v>253</v>
      </c>
      <c r="F50" s="2" t="s">
        <v>149</v>
      </c>
      <c r="G50" s="1" t="str">
        <f>CONCATENATE("names.append('",Table1[[#This Row],[name]],"')")</f>
        <v>names.append('MissileTractor_BA')</v>
      </c>
      <c r="H50" s="1" t="str">
        <f>CONCATENATE(".incbin ""chr/",Table1[[#This Row],[name]],".chr""")</f>
        <v>.incbin "chr/MissileTractor_BA.chr"</v>
      </c>
      <c r="I50" s="1" t="str">
        <f>CONCATENATE("chr",Table1[[#This Row],[name]],"_ID")</f>
        <v>chrMissileTractor_BA_ID</v>
      </c>
      <c r="J50" s="3" t="str">
        <f>CONCATENATE(Table1[[#This Row],[asmid]]," = $",Table1[[#This Row],[bankh]])</f>
        <v>chrMissileTractor_BA_ID = $30</v>
      </c>
      <c r="K50" s="3" t="str">
        <f>Table1[[#This Row],[bankh]]</f>
        <v>30</v>
      </c>
    </row>
    <row r="51" spans="1:11" x14ac:dyDescent="0.25">
      <c r="A51" s="1">
        <v>49</v>
      </c>
      <c r="B51" s="1" t="s">
        <v>54</v>
      </c>
      <c r="C51" s="1" t="str">
        <f>DEC2HEX(HEX2DEC("20010") + (HEX2DEC("400") * Table1[[#This Row],[bank]]))</f>
        <v>2C410</v>
      </c>
      <c r="D51" s="1"/>
      <c r="E51" s="1" t="s">
        <v>337</v>
      </c>
      <c r="F51" s="2" t="s">
        <v>149</v>
      </c>
      <c r="G51" s="1" t="str">
        <f>CONCATENATE("names.append('",Table1[[#This Row],[name]],"')")</f>
        <v>names.append('MissileTractor_BB')</v>
      </c>
      <c r="H51" s="1" t="str">
        <f>CONCATENATE(".incbin ""chr/",Table1[[#This Row],[name]],".chr""")</f>
        <v>.incbin "chr/MissileTractor_BB.chr"</v>
      </c>
      <c r="I51" s="1" t="str">
        <f>CONCATENATE("chr",Table1[[#This Row],[name]],"_ID")</f>
        <v>chrMissileTractor_BB_ID</v>
      </c>
      <c r="J51" s="3" t="str">
        <f>CONCATENATE(Table1[[#This Row],[asmid]]," = $",Table1[[#This Row],[bankh]])</f>
        <v>chrMissileTractor_BB_ID = $31</v>
      </c>
      <c r="K51" s="3" t="str">
        <f>Table1[[#This Row],[bankh]]</f>
        <v>31</v>
      </c>
    </row>
    <row r="52" spans="1:11" x14ac:dyDescent="0.25">
      <c r="A52" s="1">
        <v>50</v>
      </c>
      <c r="B52" s="1" t="s">
        <v>55</v>
      </c>
      <c r="C52" s="1" t="str">
        <f>DEC2HEX(HEX2DEC("20010") + (HEX2DEC("400") * Table1[[#This Row],[bank]]))</f>
        <v>2C810</v>
      </c>
      <c r="D52" s="1"/>
      <c r="E52" s="1" t="s">
        <v>254</v>
      </c>
      <c r="F52" s="2" t="s">
        <v>150</v>
      </c>
      <c r="G52" s="1" t="str">
        <f>CONCATENATE("names.append('",Table1[[#This Row],[name]],"')")</f>
        <v>names.append('MissileTractor_CA')</v>
      </c>
      <c r="H52" s="1" t="str">
        <f>CONCATENATE(".incbin ""chr/",Table1[[#This Row],[name]],".chr""")</f>
        <v>.incbin "chr/MissileTractor_CA.chr"</v>
      </c>
      <c r="I52" s="1" t="str">
        <f>CONCATENATE("chr",Table1[[#This Row],[name]],"_ID")</f>
        <v>chrMissileTractor_CA_ID</v>
      </c>
      <c r="J52" s="3" t="str">
        <f>CONCATENATE(Table1[[#This Row],[asmid]]," = $",Table1[[#This Row],[bankh]])</f>
        <v>chrMissileTractor_CA_ID = $32</v>
      </c>
      <c r="K52" s="3" t="str">
        <f>Table1[[#This Row],[bankh]]</f>
        <v>32</v>
      </c>
    </row>
    <row r="53" spans="1:11" x14ac:dyDescent="0.25">
      <c r="A53" s="1">
        <v>51</v>
      </c>
      <c r="B53" s="1" t="s">
        <v>56</v>
      </c>
      <c r="C53" s="1" t="str">
        <f>DEC2HEX(HEX2DEC("20010") + (HEX2DEC("400") * Table1[[#This Row],[bank]]))</f>
        <v>2CC10</v>
      </c>
      <c r="D53" s="1"/>
      <c r="E53" s="1" t="s">
        <v>338</v>
      </c>
      <c r="F53" s="2" t="s">
        <v>150</v>
      </c>
      <c r="G53" s="1" t="str">
        <f>CONCATENATE("names.append('",Table1[[#This Row],[name]],"')")</f>
        <v>names.append('MissileTractor_CB')</v>
      </c>
      <c r="H53" s="1" t="str">
        <f>CONCATENATE(".incbin ""chr/",Table1[[#This Row],[name]],".chr""")</f>
        <v>.incbin "chr/MissileTractor_CB.chr"</v>
      </c>
      <c r="I53" s="1" t="str">
        <f>CONCATENATE("chr",Table1[[#This Row],[name]],"_ID")</f>
        <v>chrMissileTractor_CB_ID</v>
      </c>
      <c r="J53" s="3" t="str">
        <f>CONCATENATE(Table1[[#This Row],[asmid]]," = $",Table1[[#This Row],[bankh]])</f>
        <v>chrMissileTractor_CB_ID = $33</v>
      </c>
      <c r="K53" s="3" t="str">
        <f>Table1[[#This Row],[bankh]]</f>
        <v>33</v>
      </c>
    </row>
    <row r="54" spans="1:11" x14ac:dyDescent="0.25">
      <c r="A54" s="1">
        <v>52</v>
      </c>
      <c r="B54" s="1" t="s">
        <v>57</v>
      </c>
      <c r="C54" s="1" t="str">
        <f>DEC2HEX(HEX2DEC("20010") + (HEX2DEC("400") * Table1[[#This Row],[bank]]))</f>
        <v>2D010</v>
      </c>
      <c r="D54" s="1"/>
      <c r="E54" s="1" t="s">
        <v>255</v>
      </c>
      <c r="F54" s="2" t="s">
        <v>151</v>
      </c>
      <c r="G54" s="1" t="str">
        <f>CONCATENATE("names.append('",Table1[[#This Row],[name]],"')")</f>
        <v>names.append('BigReward_A')</v>
      </c>
      <c r="H54" s="1" t="str">
        <f>CONCATENATE(".incbin ""chr/",Table1[[#This Row],[name]],".chr""")</f>
        <v>.incbin "chr/BigReward_A.chr"</v>
      </c>
      <c r="I54" s="1" t="str">
        <f>CONCATENATE("chr",Table1[[#This Row],[name]],"_ID")</f>
        <v>chrBigReward_A_ID</v>
      </c>
      <c r="J54" s="3" t="str">
        <f>CONCATENATE(Table1[[#This Row],[asmid]]," = $",Table1[[#This Row],[bankh]])</f>
        <v>chrBigReward_A_ID = $34</v>
      </c>
      <c r="K54" s="3" t="str">
        <f>Table1[[#This Row],[bankh]]</f>
        <v>34</v>
      </c>
    </row>
    <row r="55" spans="1:11" x14ac:dyDescent="0.25">
      <c r="A55" s="1">
        <v>53</v>
      </c>
      <c r="B55" s="1" t="s">
        <v>58</v>
      </c>
      <c r="C55" s="1" t="str">
        <f>DEC2HEX(HEX2DEC("20010") + (HEX2DEC("400") * Table1[[#This Row],[bank]]))</f>
        <v>2D410</v>
      </c>
      <c r="D55" s="1" t="s">
        <v>331</v>
      </c>
      <c r="E55" s="1" t="s">
        <v>256</v>
      </c>
      <c r="F55" s="2" t="s">
        <v>151</v>
      </c>
      <c r="G55" s="1" t="str">
        <f>CONCATENATE("names.append('",Table1[[#This Row],[name]],"')")</f>
        <v>names.append('BigReward_B')</v>
      </c>
      <c r="H55" s="1" t="str">
        <f>CONCATENATE(".incbin ""chr/",Table1[[#This Row],[name]],".chr""")</f>
        <v>.incbin "chr/BigReward_B.chr"</v>
      </c>
      <c r="I55" s="1" t="str">
        <f>CONCATENATE("chr",Table1[[#This Row],[name]],"_ID")</f>
        <v>chrBigReward_B_ID</v>
      </c>
      <c r="J55" s="3" t="str">
        <f>CONCATENATE(Table1[[#This Row],[asmid]]," = $",Table1[[#This Row],[bankh]])</f>
        <v>chrBigReward_B_ID = $35</v>
      </c>
      <c r="K55" s="3" t="str">
        <f>Table1[[#This Row],[bankh]]</f>
        <v>35</v>
      </c>
    </row>
    <row r="56" spans="1:11" x14ac:dyDescent="0.25">
      <c r="A56" s="1">
        <v>54</v>
      </c>
      <c r="B56" s="1" t="s">
        <v>59</v>
      </c>
      <c r="C56" s="1" t="str">
        <f>DEC2HEX(HEX2DEC("20010") + (HEX2DEC("400") * Table1[[#This Row],[bank]]))</f>
        <v>2D810</v>
      </c>
      <c r="D56" s="1"/>
      <c r="E56" s="1" t="s">
        <v>257</v>
      </c>
      <c r="F56" s="2" t="s">
        <v>152</v>
      </c>
      <c r="G56" s="1" t="str">
        <f>CONCATENATE("names.append('",Table1[[#This Row],[name]],"')")</f>
        <v>names.append('PlayerTravel_A')</v>
      </c>
      <c r="H56" s="1" t="str">
        <f>CONCATENATE(".incbin ""chr/",Table1[[#This Row],[name]],".chr""")</f>
        <v>.incbin "chr/PlayerTravel_A.chr"</v>
      </c>
      <c r="I56" s="1" t="str">
        <f>CONCATENATE("chr",Table1[[#This Row],[name]],"_ID")</f>
        <v>chrPlayerTravel_A_ID</v>
      </c>
      <c r="J56" s="3" t="str">
        <f>CONCATENATE(Table1[[#This Row],[asmid]]," = $",Table1[[#This Row],[bankh]])</f>
        <v>chrPlayerTravel_A_ID = $36</v>
      </c>
      <c r="K56" s="3" t="str">
        <f>Table1[[#This Row],[bankh]]</f>
        <v>36</v>
      </c>
    </row>
    <row r="57" spans="1:11" x14ac:dyDescent="0.25">
      <c r="A57" s="1">
        <v>55</v>
      </c>
      <c r="B57" s="1" t="s">
        <v>60</v>
      </c>
      <c r="C57" s="1" t="str">
        <f>DEC2HEX(HEX2DEC("20010") + (HEX2DEC("400") * Table1[[#This Row],[bank]]))</f>
        <v>2DC10</v>
      </c>
      <c r="D57" s="1"/>
      <c r="E57" s="1" t="s">
        <v>258</v>
      </c>
      <c r="F57" s="2" t="s">
        <v>192</v>
      </c>
      <c r="G57" s="1" t="str">
        <f>CONCATENATE("names.append('",Table1[[#This Row],[name]],"')")</f>
        <v>names.append('PlayerTravel_B')</v>
      </c>
      <c r="H57" s="1" t="str">
        <f>CONCATENATE(".incbin ""chr/",Table1[[#This Row],[name]],".chr""")</f>
        <v>.incbin "chr/PlayerTravel_B.chr"</v>
      </c>
      <c r="I57" s="1" t="str">
        <f>CONCATENATE("chr",Table1[[#This Row],[name]],"_ID")</f>
        <v>chrPlayerTravel_B_ID</v>
      </c>
      <c r="J57" s="3" t="str">
        <f>CONCATENATE(Table1[[#This Row],[asmid]]," = $",Table1[[#This Row],[bankh]])</f>
        <v>chrPlayerTravel_B_ID = $37</v>
      </c>
      <c r="K57" s="3" t="str">
        <f>Table1[[#This Row],[bankh]]</f>
        <v>37</v>
      </c>
    </row>
    <row r="58" spans="1:11" x14ac:dyDescent="0.25">
      <c r="A58" s="1">
        <v>56</v>
      </c>
      <c r="B58" s="1" t="s">
        <v>61</v>
      </c>
      <c r="C58" s="1" t="str">
        <f>DEC2HEX(HEX2DEC("20010") + (HEX2DEC("400") * Table1[[#This Row],[bank]]))</f>
        <v>2E010</v>
      </c>
      <c r="D58" s="1"/>
      <c r="E58" s="1" t="s">
        <v>259</v>
      </c>
      <c r="F58" s="2" t="s">
        <v>153</v>
      </c>
      <c r="G58" s="1" t="str">
        <f>CONCATENATE("names.append('",Table1[[#This Row],[name]],"')")</f>
        <v>names.append('ShoeCar_A')</v>
      </c>
      <c r="H58" s="1" t="str">
        <f>CONCATENATE(".incbin ""chr/",Table1[[#This Row],[name]],".chr""")</f>
        <v>.incbin "chr/ShoeCar_A.chr"</v>
      </c>
      <c r="I58" s="1" t="str">
        <f>CONCATENATE("chr",Table1[[#This Row],[name]],"_ID")</f>
        <v>chrShoeCar_A_ID</v>
      </c>
      <c r="J58" s="3" t="str">
        <f>CONCATENATE(Table1[[#This Row],[asmid]]," = $",Table1[[#This Row],[bankh]])</f>
        <v>chrShoeCar_A_ID = $38</v>
      </c>
      <c r="K58" s="3" t="str">
        <f>Table1[[#This Row],[bankh]]</f>
        <v>38</v>
      </c>
    </row>
    <row r="59" spans="1:11" x14ac:dyDescent="0.25">
      <c r="A59" s="1">
        <v>57</v>
      </c>
      <c r="B59" s="1" t="s">
        <v>62</v>
      </c>
      <c r="C59" s="1" t="str">
        <f>DEC2HEX(HEX2DEC("20010") + (HEX2DEC("400") * Table1[[#This Row],[bank]]))</f>
        <v>2E410</v>
      </c>
      <c r="D59" s="1"/>
      <c r="E59" s="1" t="s">
        <v>260</v>
      </c>
      <c r="F59" s="2" t="s">
        <v>153</v>
      </c>
      <c r="G59" s="1" t="str">
        <f>CONCATENATE("names.append('",Table1[[#This Row],[name]],"')")</f>
        <v>names.append('ShoeCar_B')</v>
      </c>
      <c r="H59" s="1" t="str">
        <f>CONCATENATE(".incbin ""chr/",Table1[[#This Row],[name]],".chr""")</f>
        <v>.incbin "chr/ShoeCar_B.chr"</v>
      </c>
      <c r="I59" s="1" t="str">
        <f>CONCATENATE("chr",Table1[[#This Row],[name]],"_ID")</f>
        <v>chrShoeCar_B_ID</v>
      </c>
      <c r="J59" s="3" t="str">
        <f>CONCATENATE(Table1[[#This Row],[asmid]]," = $",Table1[[#This Row],[bankh]])</f>
        <v>chrShoeCar_B_ID = $39</v>
      </c>
      <c r="K59" s="3" t="str">
        <f>Table1[[#This Row],[bankh]]</f>
        <v>39</v>
      </c>
    </row>
    <row r="60" spans="1:11" x14ac:dyDescent="0.25">
      <c r="A60" s="1">
        <v>58</v>
      </c>
      <c r="B60" s="1" t="s">
        <v>63</v>
      </c>
      <c r="C60" s="1" t="str">
        <f>DEC2HEX(HEX2DEC("20010") + (HEX2DEC("400") * Table1[[#This Row],[bank]]))</f>
        <v>2E810</v>
      </c>
      <c r="D60" s="1"/>
      <c r="E60" s="1" t="s">
        <v>261</v>
      </c>
      <c r="F60" s="2" t="s">
        <v>154</v>
      </c>
      <c r="G60" s="1" t="str">
        <f>CONCATENATE("names.append('",Table1[[#This Row],[name]],"')")</f>
        <v>names.append('BonusRoom_A')</v>
      </c>
      <c r="H60" s="1" t="str">
        <f>CONCATENATE(".incbin ""chr/",Table1[[#This Row],[name]],".chr""")</f>
        <v>.incbin "chr/BonusRoom_A.chr"</v>
      </c>
      <c r="I60" s="1" t="str">
        <f>CONCATENATE("chr",Table1[[#This Row],[name]],"_ID")</f>
        <v>chrBonusRoom_A_ID</v>
      </c>
      <c r="J60" s="3" t="str">
        <f>CONCATENATE(Table1[[#This Row],[asmid]]," = $",Table1[[#This Row],[bankh]])</f>
        <v>chrBonusRoom_A_ID = $3A</v>
      </c>
      <c r="K60" s="3" t="str">
        <f>Table1[[#This Row],[bankh]]</f>
        <v>3A</v>
      </c>
    </row>
    <row r="61" spans="1:11" x14ac:dyDescent="0.25">
      <c r="A61" s="1">
        <v>59</v>
      </c>
      <c r="B61" s="1" t="s">
        <v>64</v>
      </c>
      <c r="C61" s="1" t="str">
        <f>DEC2HEX(HEX2DEC("20010") + (HEX2DEC("400") * Table1[[#This Row],[bank]]))</f>
        <v>2EC10</v>
      </c>
      <c r="D61" s="1"/>
      <c r="E61" s="1" t="s">
        <v>262</v>
      </c>
      <c r="F61" s="2" t="s">
        <v>154</v>
      </c>
      <c r="G61" s="1" t="str">
        <f>CONCATENATE("names.append('",Table1[[#This Row],[name]],"')")</f>
        <v>names.append('BonusRoom_B')</v>
      </c>
      <c r="H61" s="1" t="str">
        <f>CONCATENATE(".incbin ""chr/",Table1[[#This Row],[name]],".chr""")</f>
        <v>.incbin "chr/BonusRoom_B.chr"</v>
      </c>
      <c r="I61" s="1" t="str">
        <f>CONCATENATE("chr",Table1[[#This Row],[name]],"_ID")</f>
        <v>chrBonusRoom_B_ID</v>
      </c>
      <c r="J61" s="3" t="str">
        <f>CONCATENATE(Table1[[#This Row],[asmid]]," = $",Table1[[#This Row],[bankh]])</f>
        <v>chrBonusRoom_B_ID = $3B</v>
      </c>
      <c r="K61" s="3" t="str">
        <f>Table1[[#This Row],[bankh]]</f>
        <v>3B</v>
      </c>
    </row>
    <row r="62" spans="1:11" x14ac:dyDescent="0.25">
      <c r="A62" s="1">
        <v>60</v>
      </c>
      <c r="B62" s="1" t="s">
        <v>65</v>
      </c>
      <c r="C62" s="1" t="str">
        <f>DEC2HEX(HEX2DEC("20010") + (HEX2DEC("400") * Table1[[#This Row],[bank]]))</f>
        <v>2F010</v>
      </c>
      <c r="D62" s="1"/>
      <c r="E62" s="1" t="s">
        <v>263</v>
      </c>
      <c r="F62" s="2" t="s">
        <v>155</v>
      </c>
      <c r="G62" s="1" t="str">
        <f>CONCATENATE("names.append('",Table1[[#This Row],[name]],"')")</f>
        <v>names.append('Barcelon_A')</v>
      </c>
      <c r="H62" s="1" t="str">
        <f>CONCATENATE(".incbin ""chr/",Table1[[#This Row],[name]],".chr""")</f>
        <v>.incbin "chr/Barcelon_A.chr"</v>
      </c>
      <c r="I62" s="1" t="str">
        <f>CONCATENATE("chr",Table1[[#This Row],[name]],"_ID")</f>
        <v>chrBarcelon_A_ID</v>
      </c>
      <c r="J62" s="3" t="str">
        <f>CONCATENATE(Table1[[#This Row],[asmid]]," = $",Table1[[#This Row],[bankh]])</f>
        <v>chrBarcelon_A_ID = $3C</v>
      </c>
      <c r="K62" s="3" t="str">
        <f>Table1[[#This Row],[bankh]]</f>
        <v>3C</v>
      </c>
    </row>
    <row r="63" spans="1:11" x14ac:dyDescent="0.25">
      <c r="A63" s="1">
        <v>61</v>
      </c>
      <c r="B63" s="1" t="s">
        <v>66</v>
      </c>
      <c r="C63" s="1" t="str">
        <f>DEC2HEX(HEX2DEC("20010") + (HEX2DEC("400") * Table1[[#This Row],[bank]]))</f>
        <v>2F410</v>
      </c>
      <c r="D63" s="1"/>
      <c r="E63" s="1" t="s">
        <v>264</v>
      </c>
      <c r="F63" s="2" t="s">
        <v>155</v>
      </c>
      <c r="G63" s="1" t="str">
        <f>CONCATENATE("names.append('",Table1[[#This Row],[name]],"')")</f>
        <v>names.append('Barcelon_B')</v>
      </c>
      <c r="H63" s="1" t="str">
        <f>CONCATENATE(".incbin ""chr/",Table1[[#This Row],[name]],".chr""")</f>
        <v>.incbin "chr/Barcelon_B.chr"</v>
      </c>
      <c r="I63" s="1" t="str">
        <f>CONCATENATE("chr",Table1[[#This Row],[name]],"_ID")</f>
        <v>chrBarcelon_B_ID</v>
      </c>
      <c r="J63" s="3" t="str">
        <f>CONCATENATE(Table1[[#This Row],[asmid]]," = $",Table1[[#This Row],[bankh]])</f>
        <v>chrBarcelon_B_ID = $3D</v>
      </c>
      <c r="K63" s="3" t="str">
        <f>Table1[[#This Row],[bankh]]</f>
        <v>3D</v>
      </c>
    </row>
    <row r="64" spans="1:11" x14ac:dyDescent="0.25">
      <c r="A64" s="1">
        <v>62</v>
      </c>
      <c r="B64" s="1" t="s">
        <v>67</v>
      </c>
      <c r="C64" s="1" t="str">
        <f>DEC2HEX(HEX2DEC("20010") + (HEX2DEC("400") * Table1[[#This Row],[bank]]))</f>
        <v>2F810</v>
      </c>
      <c r="D64" s="1"/>
      <c r="E64" s="1" t="s">
        <v>265</v>
      </c>
      <c r="F64" s="2" t="s">
        <v>156</v>
      </c>
      <c r="G64" s="1" t="str">
        <f>CONCATENATE("names.append('",Table1[[#This Row],[name]],"')")</f>
        <v>names.append('BonusBall_A')</v>
      </c>
      <c r="H64" s="1" t="str">
        <f>CONCATENATE(".incbin ""chr/",Table1[[#This Row],[name]],".chr""")</f>
        <v>.incbin "chr/BonusBall_A.chr"</v>
      </c>
      <c r="I64" s="1" t="str">
        <f>CONCATENATE("chr",Table1[[#This Row],[name]],"_ID")</f>
        <v>chrBonusBall_A_ID</v>
      </c>
      <c r="J64" s="3" t="str">
        <f>CONCATENATE(Table1[[#This Row],[asmid]]," = $",Table1[[#This Row],[bankh]])</f>
        <v>chrBonusBall_A_ID = $3E</v>
      </c>
      <c r="K64" s="3" t="str">
        <f>Table1[[#This Row],[bankh]]</f>
        <v>3E</v>
      </c>
    </row>
    <row r="65" spans="1:11" x14ac:dyDescent="0.25">
      <c r="A65" s="1">
        <v>63</v>
      </c>
      <c r="B65" s="1" t="s">
        <v>68</v>
      </c>
      <c r="C65" s="1" t="str">
        <f>DEC2HEX(HEX2DEC("20010") + (HEX2DEC("400") * Table1[[#This Row],[bank]]))</f>
        <v>2FC10</v>
      </c>
      <c r="D65" s="1"/>
      <c r="E65" s="1" t="s">
        <v>266</v>
      </c>
      <c r="F65" s="2" t="s">
        <v>156</v>
      </c>
      <c r="G65" s="1" t="str">
        <f>CONCATENATE("names.append('",Table1[[#This Row],[name]],"')")</f>
        <v>names.append('BonusBall_B')</v>
      </c>
      <c r="H65" s="1" t="str">
        <f>CONCATENATE(".incbin ""chr/",Table1[[#This Row],[name]],".chr""")</f>
        <v>.incbin "chr/BonusBall_B.chr"</v>
      </c>
      <c r="I65" s="1" t="str">
        <f>CONCATENATE("chr",Table1[[#This Row],[name]],"_ID")</f>
        <v>chrBonusBall_B_ID</v>
      </c>
      <c r="J65" s="3" t="str">
        <f>CONCATENATE(Table1[[#This Row],[asmid]]," = $",Table1[[#This Row],[bankh]])</f>
        <v>chrBonusBall_B_ID = $3F</v>
      </c>
      <c r="K65" s="3" t="str">
        <f>Table1[[#This Row],[bankh]]</f>
        <v>3F</v>
      </c>
    </row>
    <row r="66" spans="1:11" x14ac:dyDescent="0.25">
      <c r="A66" s="1">
        <v>64</v>
      </c>
      <c r="B66" s="1" t="s">
        <v>69</v>
      </c>
      <c r="C66" s="1" t="str">
        <f>DEC2HEX(HEX2DEC("20010") + (HEX2DEC("400") * Table1[[#This Row],[bank]]))</f>
        <v>30010</v>
      </c>
      <c r="D66" s="1"/>
      <c r="E66" s="1" t="s">
        <v>267</v>
      </c>
      <c r="F66" s="2" t="s">
        <v>157</v>
      </c>
      <c r="G66" s="1" t="str">
        <f>CONCATENATE("names.append('",Table1[[#This Row],[name]],"')")</f>
        <v>names.append('Player_A')</v>
      </c>
      <c r="H66" s="1" t="str">
        <f>CONCATENATE(".incbin ""chr/",Table1[[#This Row],[name]],".chr""")</f>
        <v>.incbin "chr/Player_A.chr"</v>
      </c>
      <c r="I66" s="1" t="str">
        <f>CONCATENATE("chr",Table1[[#This Row],[name]],"_ID")</f>
        <v>chrPlayer_A_ID</v>
      </c>
      <c r="J66" s="3" t="str">
        <f>CONCATENATE(Table1[[#This Row],[asmid]]," = $",Table1[[#This Row],[bankh]])</f>
        <v>chrPlayer_A_ID = $40</v>
      </c>
      <c r="K66" s="3" t="str">
        <f>Table1[[#This Row],[bankh]]</f>
        <v>40</v>
      </c>
    </row>
    <row r="67" spans="1:11" x14ac:dyDescent="0.25">
      <c r="A67" s="1">
        <v>65</v>
      </c>
      <c r="B67" s="1" t="s">
        <v>70</v>
      </c>
      <c r="C67" s="1" t="str">
        <f>DEC2HEX(HEX2DEC("20010") + (HEX2DEC("400") * Table1[[#This Row],[bank]]))</f>
        <v>30410</v>
      </c>
      <c r="D67" s="1"/>
      <c r="E67" s="1" t="s">
        <v>268</v>
      </c>
      <c r="F67" s="2" t="s">
        <v>157</v>
      </c>
      <c r="G67" s="1" t="str">
        <f>CONCATENATE("names.append('",Table1[[#This Row],[name]],"')")</f>
        <v>names.append('Player_B')</v>
      </c>
      <c r="H67" s="1" t="str">
        <f>CONCATENATE(".incbin ""chr/",Table1[[#This Row],[name]],".chr""")</f>
        <v>.incbin "chr/Player_B.chr"</v>
      </c>
      <c r="I67" s="1" t="str">
        <f>CONCATENATE("chr",Table1[[#This Row],[name]],"_ID")</f>
        <v>chrPlayer_B_ID</v>
      </c>
      <c r="J67" s="3" t="str">
        <f>CONCATENATE(Table1[[#This Row],[asmid]]," = $",Table1[[#This Row],[bankh]])</f>
        <v>chrPlayer_B_ID = $41</v>
      </c>
      <c r="K67" s="3" t="str">
        <f>Table1[[#This Row],[bankh]]</f>
        <v>41</v>
      </c>
    </row>
    <row r="68" spans="1:11" x14ac:dyDescent="0.25">
      <c r="A68" s="1">
        <v>66</v>
      </c>
      <c r="B68" s="1" t="s">
        <v>71</v>
      </c>
      <c r="C68" s="1" t="str">
        <f>DEC2HEX(HEX2DEC("20010") + (HEX2DEC("400") * Table1[[#This Row],[bank]]))</f>
        <v>30810</v>
      </c>
      <c r="D68" s="1"/>
      <c r="E68" s="1" t="s">
        <v>269</v>
      </c>
      <c r="F68" s="2" t="s">
        <v>157</v>
      </c>
      <c r="G68" s="1" t="str">
        <f>CONCATENATE("names.append('",Table1[[#This Row],[name]],"')")</f>
        <v>names.append('Player_C')</v>
      </c>
      <c r="H68" s="1" t="str">
        <f>CONCATENATE(".incbin ""chr/",Table1[[#This Row],[name]],".chr""")</f>
        <v>.incbin "chr/Player_C.chr"</v>
      </c>
      <c r="I68" s="1" t="str">
        <f>CONCATENATE("chr",Table1[[#This Row],[name]],"_ID")</f>
        <v>chrPlayer_C_ID</v>
      </c>
      <c r="J68" s="3" t="str">
        <f>CONCATENATE(Table1[[#This Row],[asmid]]," = $",Table1[[#This Row],[bankh]])</f>
        <v>chrPlayer_C_ID = $42</v>
      </c>
      <c r="K68" s="3" t="str">
        <f>Table1[[#This Row],[bankh]]</f>
        <v>42</v>
      </c>
    </row>
    <row r="69" spans="1:11" x14ac:dyDescent="0.25">
      <c r="A69" s="1">
        <v>67</v>
      </c>
      <c r="B69" s="1" t="s">
        <v>72</v>
      </c>
      <c r="C69" s="1" t="str">
        <f>DEC2HEX(HEX2DEC("20010") + (HEX2DEC("400") * Table1[[#This Row],[bank]]))</f>
        <v>30C10</v>
      </c>
      <c r="D69" s="1"/>
      <c r="E69" s="1" t="s">
        <v>270</v>
      </c>
      <c r="F69" s="2" t="s">
        <v>157</v>
      </c>
      <c r="G69" s="1" t="str">
        <f>CONCATENATE("names.append('",Table1[[#This Row],[name]],"')")</f>
        <v>names.append('Player_D')</v>
      </c>
      <c r="H69" s="1" t="str">
        <f>CONCATENATE(".incbin ""chr/",Table1[[#This Row],[name]],".chr""")</f>
        <v>.incbin "chr/Player_D.chr"</v>
      </c>
      <c r="I69" s="1" t="str">
        <f>CONCATENATE("chr",Table1[[#This Row],[name]],"_ID")</f>
        <v>chrPlayer_D_ID</v>
      </c>
      <c r="J69" s="3" t="str">
        <f>CONCATENATE(Table1[[#This Row],[asmid]]," = $",Table1[[#This Row],[bankh]])</f>
        <v>chrPlayer_D_ID = $43</v>
      </c>
      <c r="K69" s="3" t="str">
        <f>Table1[[#This Row],[bankh]]</f>
        <v>43</v>
      </c>
    </row>
    <row r="70" spans="1:11" x14ac:dyDescent="0.25">
      <c r="A70" s="1">
        <v>68</v>
      </c>
      <c r="B70" s="1" t="s">
        <v>73</v>
      </c>
      <c r="C70" s="1" t="str">
        <f>DEC2HEX(HEX2DEC("20010") + (HEX2DEC("400") * Table1[[#This Row],[bank]]))</f>
        <v>31010</v>
      </c>
      <c r="D70" s="1"/>
      <c r="E70" s="1" t="s">
        <v>271</v>
      </c>
      <c r="F70" s="2" t="s">
        <v>157</v>
      </c>
      <c r="G70" s="1" t="str">
        <f>CONCATENATE("names.append('",Table1[[#This Row],[name]],"')")</f>
        <v>names.append('Player_E')</v>
      </c>
      <c r="H70" s="1" t="str">
        <f>CONCATENATE(".incbin ""chr/",Table1[[#This Row],[name]],".chr""")</f>
        <v>.incbin "chr/Player_E.chr"</v>
      </c>
      <c r="I70" s="1" t="str">
        <f>CONCATENATE("chr",Table1[[#This Row],[name]],"_ID")</f>
        <v>chrPlayer_E_ID</v>
      </c>
      <c r="J70" s="3" t="str">
        <f>CONCATENATE(Table1[[#This Row],[asmid]]," = $",Table1[[#This Row],[bankh]])</f>
        <v>chrPlayer_E_ID = $44</v>
      </c>
      <c r="K70" s="3" t="str">
        <f>Table1[[#This Row],[bankh]]</f>
        <v>44</v>
      </c>
    </row>
    <row r="71" spans="1:11" x14ac:dyDescent="0.25">
      <c r="A71" s="1">
        <v>69</v>
      </c>
      <c r="B71" s="1" t="s">
        <v>74</v>
      </c>
      <c r="C71" s="1" t="str">
        <f>DEC2HEX(HEX2DEC("20010") + (HEX2DEC("400") * Table1[[#This Row],[bank]]))</f>
        <v>31410</v>
      </c>
      <c r="D71" s="1"/>
      <c r="E71" s="1" t="s">
        <v>272</v>
      </c>
      <c r="F71" s="2" t="s">
        <v>157</v>
      </c>
      <c r="G71" s="1" t="str">
        <f>CONCATENATE("names.append('",Table1[[#This Row],[name]],"')")</f>
        <v>names.append('Player_F')</v>
      </c>
      <c r="H71" s="1" t="str">
        <f>CONCATENATE(".incbin ""chr/",Table1[[#This Row],[name]],".chr""")</f>
        <v>.incbin "chr/Player_F.chr"</v>
      </c>
      <c r="I71" s="1" t="str">
        <f>CONCATENATE("chr",Table1[[#This Row],[name]],"_ID")</f>
        <v>chrPlayer_F_ID</v>
      </c>
      <c r="J71" s="3" t="str">
        <f>CONCATENATE(Table1[[#This Row],[asmid]]," = $",Table1[[#This Row],[bankh]])</f>
        <v>chrPlayer_F_ID = $45</v>
      </c>
      <c r="K71" s="3" t="str">
        <f>Table1[[#This Row],[bankh]]</f>
        <v>45</v>
      </c>
    </row>
    <row r="72" spans="1:11" x14ac:dyDescent="0.25">
      <c r="A72" s="1">
        <v>70</v>
      </c>
      <c r="B72" s="1" t="s">
        <v>75</v>
      </c>
      <c r="C72" s="1" t="str">
        <f>DEC2HEX(HEX2DEC("20010") + (HEX2DEC("400") * Table1[[#This Row],[bank]]))</f>
        <v>31810</v>
      </c>
      <c r="D72" s="1"/>
      <c r="E72" s="1" t="s">
        <v>273</v>
      </c>
      <c r="F72" s="2" t="s">
        <v>157</v>
      </c>
      <c r="G72" s="1" t="str">
        <f>CONCATENATE("names.append('",Table1[[#This Row],[name]],"')")</f>
        <v>names.append('Player_G')</v>
      </c>
      <c r="H72" s="1" t="str">
        <f>CONCATENATE(".incbin ""chr/",Table1[[#This Row],[name]],".chr""")</f>
        <v>.incbin "chr/Player_G.chr"</v>
      </c>
      <c r="I72" s="1" t="str">
        <f>CONCATENATE("chr",Table1[[#This Row],[name]],"_ID")</f>
        <v>chrPlayer_G_ID</v>
      </c>
      <c r="J72" s="3" t="str">
        <f>CONCATENATE(Table1[[#This Row],[asmid]]," = $",Table1[[#This Row],[bankh]])</f>
        <v>chrPlayer_G_ID = $46</v>
      </c>
      <c r="K72" s="3" t="str">
        <f>Table1[[#This Row],[bankh]]</f>
        <v>46</v>
      </c>
    </row>
    <row r="73" spans="1:11" x14ac:dyDescent="0.25">
      <c r="A73" s="1">
        <v>71</v>
      </c>
      <c r="B73" s="1" t="s">
        <v>76</v>
      </c>
      <c r="C73" s="1" t="str">
        <f>DEC2HEX(HEX2DEC("20010") + (HEX2DEC("400") * Table1[[#This Row],[bank]]))</f>
        <v>31C10</v>
      </c>
      <c r="D73" s="1"/>
      <c r="E73" s="1" t="s">
        <v>274</v>
      </c>
      <c r="F73" s="2" t="s">
        <v>157</v>
      </c>
      <c r="G73" s="1" t="str">
        <f>CONCATENATE("names.append('",Table1[[#This Row],[name]],"')")</f>
        <v>names.append('Player_H')</v>
      </c>
      <c r="H73" s="1" t="str">
        <f>CONCATENATE(".incbin ""chr/",Table1[[#This Row],[name]],".chr""")</f>
        <v>.incbin "chr/Player_H.chr"</v>
      </c>
      <c r="I73" s="1" t="str">
        <f>CONCATENATE("chr",Table1[[#This Row],[name]],"_ID")</f>
        <v>chrPlayer_H_ID</v>
      </c>
      <c r="J73" s="3" t="str">
        <f>CONCATENATE(Table1[[#This Row],[asmid]]," = $",Table1[[#This Row],[bankh]])</f>
        <v>chrPlayer_H_ID = $47</v>
      </c>
      <c r="K73" s="3" t="str">
        <f>Table1[[#This Row],[bankh]]</f>
        <v>47</v>
      </c>
    </row>
    <row r="74" spans="1:11" x14ac:dyDescent="0.25">
      <c r="A74" s="1">
        <v>72</v>
      </c>
      <c r="B74" s="1" t="s">
        <v>77</v>
      </c>
      <c r="C74" s="1" t="str">
        <f>DEC2HEX(HEX2DEC("20010") + (HEX2DEC("400") * Table1[[#This Row],[bank]]))</f>
        <v>32010</v>
      </c>
      <c r="D74" s="1"/>
      <c r="E74" s="1" t="s">
        <v>275</v>
      </c>
      <c r="F74" s="2" t="s">
        <v>157</v>
      </c>
      <c r="G74" s="1" t="str">
        <f>CONCATENATE("names.append('",Table1[[#This Row],[name]],"')")</f>
        <v>names.append('Player_I')</v>
      </c>
      <c r="H74" s="1" t="str">
        <f>CONCATENATE(".incbin ""chr/",Table1[[#This Row],[name]],".chr""")</f>
        <v>.incbin "chr/Player_I.chr"</v>
      </c>
      <c r="I74" s="1" t="str">
        <f>CONCATENATE("chr",Table1[[#This Row],[name]],"_ID")</f>
        <v>chrPlayer_I_ID</v>
      </c>
      <c r="J74" s="3" t="str">
        <f>CONCATENATE(Table1[[#This Row],[asmid]]," = $",Table1[[#This Row],[bankh]])</f>
        <v>chrPlayer_I_ID = $48</v>
      </c>
      <c r="K74" s="3" t="str">
        <f>Table1[[#This Row],[bankh]]</f>
        <v>48</v>
      </c>
    </row>
    <row r="75" spans="1:11" x14ac:dyDescent="0.25">
      <c r="A75" s="1">
        <v>73</v>
      </c>
      <c r="B75" s="1" t="s">
        <v>78</v>
      </c>
      <c r="C75" s="1" t="str">
        <f>DEC2HEX(HEX2DEC("20010") + (HEX2DEC("400") * Table1[[#This Row],[bank]]))</f>
        <v>32410</v>
      </c>
      <c r="D75" s="1"/>
      <c r="E75" s="1" t="s">
        <v>276</v>
      </c>
      <c r="F75" s="2" t="s">
        <v>157</v>
      </c>
      <c r="G75" s="1" t="str">
        <f>CONCATENATE("names.append('",Table1[[#This Row],[name]],"')")</f>
        <v>names.append('Player_J')</v>
      </c>
      <c r="H75" s="1" t="str">
        <f>CONCATENATE(".incbin ""chr/",Table1[[#This Row],[name]],".chr""")</f>
        <v>.incbin "chr/Player_J.chr"</v>
      </c>
      <c r="I75" s="1" t="str">
        <f>CONCATENATE("chr",Table1[[#This Row],[name]],"_ID")</f>
        <v>chrPlayer_J_ID</v>
      </c>
      <c r="J75" s="3" t="str">
        <f>CONCATENATE(Table1[[#This Row],[asmid]]," = $",Table1[[#This Row],[bankh]])</f>
        <v>chrPlayer_J_ID = $49</v>
      </c>
      <c r="K75" s="3" t="str">
        <f>Table1[[#This Row],[bankh]]</f>
        <v>49</v>
      </c>
    </row>
    <row r="76" spans="1:11" x14ac:dyDescent="0.25">
      <c r="A76" s="1">
        <v>74</v>
      </c>
      <c r="B76" s="1" t="s">
        <v>79</v>
      </c>
      <c r="C76" s="1" t="str">
        <f>DEC2HEX(HEX2DEC("20010") + (HEX2DEC("400") * Table1[[#This Row],[bank]]))</f>
        <v>32810</v>
      </c>
      <c r="D76" s="1"/>
      <c r="E76" s="1" t="s">
        <v>277</v>
      </c>
      <c r="F76" s="2" t="s">
        <v>157</v>
      </c>
      <c r="G76" s="1" t="str">
        <f>CONCATENATE("names.append('",Table1[[#This Row],[name]],"')")</f>
        <v>names.append('Player_K')</v>
      </c>
      <c r="H76" s="1" t="str">
        <f>CONCATENATE(".incbin ""chr/",Table1[[#This Row],[name]],".chr""")</f>
        <v>.incbin "chr/Player_K.chr"</v>
      </c>
      <c r="I76" s="1" t="str">
        <f>CONCATENATE("chr",Table1[[#This Row],[name]],"_ID")</f>
        <v>chrPlayer_K_ID</v>
      </c>
      <c r="J76" s="3" t="str">
        <f>CONCATENATE(Table1[[#This Row],[asmid]]," = $",Table1[[#This Row],[bankh]])</f>
        <v>chrPlayer_K_ID = $4A</v>
      </c>
      <c r="K76" s="3" t="str">
        <f>Table1[[#This Row],[bankh]]</f>
        <v>4A</v>
      </c>
    </row>
    <row r="77" spans="1:11" x14ac:dyDescent="0.25">
      <c r="A77" s="1">
        <v>75</v>
      </c>
      <c r="B77" s="1" t="s">
        <v>80</v>
      </c>
      <c r="C77" s="1" t="str">
        <f>DEC2HEX(HEX2DEC("20010") + (HEX2DEC("400") * Table1[[#This Row],[bank]]))</f>
        <v>32C10</v>
      </c>
      <c r="D77" s="1"/>
      <c r="E77" s="1" t="s">
        <v>278</v>
      </c>
      <c r="F77" s="2" t="s">
        <v>158</v>
      </c>
      <c r="G77" s="1" t="str">
        <f>CONCATENATE("names.append('",Table1[[#This Row],[name]],"')")</f>
        <v>names.append('Player_L')</v>
      </c>
      <c r="H77" s="1" t="str">
        <f>CONCATENATE(".incbin ""chr/",Table1[[#This Row],[name]],".chr""")</f>
        <v>.incbin "chr/Player_L.chr"</v>
      </c>
      <c r="I77" s="1" t="str">
        <f>CONCATENATE("chr",Table1[[#This Row],[name]],"_ID")</f>
        <v>chrPlayer_L_ID</v>
      </c>
      <c r="J77" s="3" t="str">
        <f>CONCATENATE(Table1[[#This Row],[asmid]]," = $",Table1[[#This Row],[bankh]])</f>
        <v>chrPlayer_L_ID = $4B</v>
      </c>
      <c r="K77" s="3" t="str">
        <f>Table1[[#This Row],[bankh]]</f>
        <v>4B</v>
      </c>
    </row>
    <row r="78" spans="1:11" x14ac:dyDescent="0.25">
      <c r="A78" s="1">
        <v>76</v>
      </c>
      <c r="B78" s="1" t="s">
        <v>81</v>
      </c>
      <c r="C78" s="1" t="str">
        <f>DEC2HEX(HEX2DEC("20010") + (HEX2DEC("400") * Table1[[#This Row],[bank]]))</f>
        <v>33010</v>
      </c>
      <c r="D78" s="1"/>
      <c r="E78" s="1" t="s">
        <v>279</v>
      </c>
      <c r="F78" s="2" t="s">
        <v>158</v>
      </c>
      <c r="G78" s="1" t="str">
        <f>CONCATENATE("names.append('",Table1[[#This Row],[name]],"')")</f>
        <v>names.append('Player_M')</v>
      </c>
      <c r="H78" s="1" t="str">
        <f>CONCATENATE(".incbin ""chr/",Table1[[#This Row],[name]],".chr""")</f>
        <v>.incbin "chr/Player_M.chr"</v>
      </c>
      <c r="I78" s="1" t="str">
        <f>CONCATENATE("chr",Table1[[#This Row],[name]],"_ID")</f>
        <v>chrPlayer_M_ID</v>
      </c>
      <c r="J78" s="3" t="str">
        <f>CONCATENATE(Table1[[#This Row],[asmid]]," = $",Table1[[#This Row],[bankh]])</f>
        <v>chrPlayer_M_ID = $4C</v>
      </c>
      <c r="K78" s="3" t="str">
        <f>Table1[[#This Row],[bankh]]</f>
        <v>4C</v>
      </c>
    </row>
    <row r="79" spans="1:11" x14ac:dyDescent="0.25">
      <c r="A79" s="1">
        <v>77</v>
      </c>
      <c r="B79" s="1" t="s">
        <v>82</v>
      </c>
      <c r="C79" s="1" t="str">
        <f>DEC2HEX(HEX2DEC("20010") + (HEX2DEC("400") * Table1[[#This Row],[bank]]))</f>
        <v>33410</v>
      </c>
      <c r="D79" s="1"/>
      <c r="E79" s="1" t="s">
        <v>280</v>
      </c>
      <c r="F79" s="2" t="s">
        <v>158</v>
      </c>
      <c r="G79" s="1" t="str">
        <f>CONCATENATE("names.append('",Table1[[#This Row],[name]],"')")</f>
        <v>names.append('Player_N')</v>
      </c>
      <c r="H79" s="1" t="str">
        <f>CONCATENATE(".incbin ""chr/",Table1[[#This Row],[name]],".chr""")</f>
        <v>.incbin "chr/Player_N.chr"</v>
      </c>
      <c r="I79" s="1" t="str">
        <f>CONCATENATE("chr",Table1[[#This Row],[name]],"_ID")</f>
        <v>chrPlayer_N_ID</v>
      </c>
      <c r="J79" s="3" t="str">
        <f>CONCATENATE(Table1[[#This Row],[asmid]]," = $",Table1[[#This Row],[bankh]])</f>
        <v>chrPlayer_N_ID = $4D</v>
      </c>
      <c r="K79" s="3" t="str">
        <f>Table1[[#This Row],[bankh]]</f>
        <v>4D</v>
      </c>
    </row>
    <row r="80" spans="1:11" x14ac:dyDescent="0.25">
      <c r="A80" s="1">
        <v>78</v>
      </c>
      <c r="B80" s="1" t="s">
        <v>83</v>
      </c>
      <c r="C80" s="1" t="str">
        <f>DEC2HEX(HEX2DEC("20010") + (HEX2DEC("400") * Table1[[#This Row],[bank]]))</f>
        <v>33810</v>
      </c>
      <c r="D80" s="1"/>
      <c r="E80" s="1" t="s">
        <v>281</v>
      </c>
      <c r="F80" s="2" t="s">
        <v>159</v>
      </c>
      <c r="G80" s="1" t="str">
        <f>CONCATENATE("names.append('",Table1[[#This Row],[name]],"')")</f>
        <v>names.append('Player_O')</v>
      </c>
      <c r="H80" s="1" t="str">
        <f>CONCATENATE(".incbin ""chr/",Table1[[#This Row],[name]],".chr""")</f>
        <v>.incbin "chr/Player_O.chr"</v>
      </c>
      <c r="I80" s="1" t="str">
        <f>CONCATENATE("chr",Table1[[#This Row],[name]],"_ID")</f>
        <v>chrPlayer_O_ID</v>
      </c>
      <c r="J80" s="3" t="str">
        <f>CONCATENATE(Table1[[#This Row],[asmid]]," = $",Table1[[#This Row],[bankh]])</f>
        <v>chrPlayer_O_ID = $4E</v>
      </c>
      <c r="K80" s="3" t="str">
        <f>Table1[[#This Row],[bankh]]</f>
        <v>4E</v>
      </c>
    </row>
    <row r="81" spans="1:11" x14ac:dyDescent="0.25">
      <c r="A81" s="1">
        <v>79</v>
      </c>
      <c r="B81" s="1" t="s">
        <v>84</v>
      </c>
      <c r="C81" s="1" t="str">
        <f>DEC2HEX(HEX2DEC("20010") + (HEX2DEC("400") * Table1[[#This Row],[bank]]))</f>
        <v>33C10</v>
      </c>
      <c r="D81" s="1"/>
      <c r="E81" s="1" t="s">
        <v>282</v>
      </c>
      <c r="F81" s="2" t="s">
        <v>159</v>
      </c>
      <c r="G81" s="1" t="str">
        <f>CONCATENATE("names.append('",Table1[[#This Row],[name]],"')")</f>
        <v>names.append('Player_P')</v>
      </c>
      <c r="H81" s="1" t="str">
        <f>CONCATENATE(".incbin ""chr/",Table1[[#This Row],[name]],".chr""")</f>
        <v>.incbin "chr/Player_P.chr"</v>
      </c>
      <c r="I81" s="1" t="str">
        <f>CONCATENATE("chr",Table1[[#This Row],[name]],"_ID")</f>
        <v>chrPlayer_P_ID</v>
      </c>
      <c r="J81" s="3" t="str">
        <f>CONCATENATE(Table1[[#This Row],[asmid]]," = $",Table1[[#This Row],[bankh]])</f>
        <v>chrPlayer_P_ID = $4F</v>
      </c>
      <c r="K81" s="3" t="str">
        <f>Table1[[#This Row],[bankh]]</f>
        <v>4F</v>
      </c>
    </row>
    <row r="82" spans="1:11" x14ac:dyDescent="0.25">
      <c r="A82" s="1">
        <v>80</v>
      </c>
      <c r="B82" s="1" t="s">
        <v>85</v>
      </c>
      <c r="C82" s="1" t="str">
        <f>DEC2HEX(HEX2DEC("20010") + (HEX2DEC("400") * Table1[[#This Row],[bank]]))</f>
        <v>34010</v>
      </c>
      <c r="D82" s="1"/>
      <c r="E82" s="1" t="s">
        <v>283</v>
      </c>
      <c r="F82" s="2" t="s">
        <v>161</v>
      </c>
      <c r="G82" s="1" t="str">
        <f>CONCATENATE("names.append('",Table1[[#This Row],[name]],"')")</f>
        <v>names.append('Thunder')</v>
      </c>
      <c r="H82" s="1" t="str">
        <f>CONCATENATE(".incbin ""chr/",Table1[[#This Row],[name]],".chr""")</f>
        <v>.incbin "chr/Thunder.chr"</v>
      </c>
      <c r="I82" s="1" t="str">
        <f>CONCATENATE("chr",Table1[[#This Row],[name]],"_ID")</f>
        <v>chrThunder_ID</v>
      </c>
      <c r="J82" s="3" t="str">
        <f>CONCATENATE(Table1[[#This Row],[asmid]]," = $",Table1[[#This Row],[bankh]])</f>
        <v>chrThunder_ID = $50</v>
      </c>
      <c r="K82" s="3" t="str">
        <f>Table1[[#This Row],[bankh]]</f>
        <v>50</v>
      </c>
    </row>
    <row r="83" spans="1:11" x14ac:dyDescent="0.25">
      <c r="A83" s="1">
        <v>81</v>
      </c>
      <c r="B83" s="1" t="s">
        <v>86</v>
      </c>
      <c r="C83" s="1" t="str">
        <f>DEC2HEX(HEX2DEC("20010") + (HEX2DEC("400") * Table1[[#This Row],[bank]]))</f>
        <v>34410</v>
      </c>
      <c r="D83" s="1"/>
      <c r="E83" s="1" t="s">
        <v>284</v>
      </c>
      <c r="F83" s="2" t="s">
        <v>162</v>
      </c>
      <c r="G83" s="1" t="str">
        <f>CONCATENATE("names.append('",Table1[[#This Row],[name]],"')")</f>
        <v>names.append('Snow')</v>
      </c>
      <c r="H83" s="1" t="str">
        <f>CONCATENATE(".incbin ""chr/",Table1[[#This Row],[name]],".chr""")</f>
        <v>.incbin "chr/Snow.chr"</v>
      </c>
      <c r="I83" s="1" t="str">
        <f>CONCATENATE("chr",Table1[[#This Row],[name]],"_ID")</f>
        <v>chrSnow_ID</v>
      </c>
      <c r="J83" s="3" t="str">
        <f>CONCATENATE(Table1[[#This Row],[asmid]]," = $",Table1[[#This Row],[bankh]])</f>
        <v>chrSnow_ID = $51</v>
      </c>
      <c r="K83" s="3" t="str">
        <f>Table1[[#This Row],[bankh]]</f>
        <v>51</v>
      </c>
    </row>
    <row r="84" spans="1:11" x14ac:dyDescent="0.25">
      <c r="A84" s="1">
        <v>82</v>
      </c>
      <c r="B84" s="1" t="s">
        <v>87</v>
      </c>
      <c r="C84" s="1" t="str">
        <f>DEC2HEX(HEX2DEC("20010") + (HEX2DEC("400") * Table1[[#This Row],[bank]]))</f>
        <v>34810</v>
      </c>
      <c r="D84" s="1"/>
      <c r="E84" s="1" t="s">
        <v>285</v>
      </c>
      <c r="F84" s="2" t="s">
        <v>163</v>
      </c>
      <c r="G84" s="1" t="str">
        <f>CONCATENATE("names.append('",Table1[[#This Row],[name]],"')")</f>
        <v>names.append('Fire')</v>
      </c>
      <c r="H84" s="1" t="str">
        <f>CONCATENATE(".incbin ""chr/",Table1[[#This Row],[name]],".chr""")</f>
        <v>.incbin "chr/Fire.chr"</v>
      </c>
      <c r="I84" s="1" t="str">
        <f>CONCATENATE("chr",Table1[[#This Row],[name]],"_ID")</f>
        <v>chrFire_ID</v>
      </c>
      <c r="J84" s="3" t="str">
        <f>CONCATENATE(Table1[[#This Row],[asmid]]," = $",Table1[[#This Row],[bankh]])</f>
        <v>chrFire_ID = $52</v>
      </c>
      <c r="K84" s="3" t="str">
        <f>Table1[[#This Row],[bankh]]</f>
        <v>52</v>
      </c>
    </row>
    <row r="85" spans="1:11" x14ac:dyDescent="0.25">
      <c r="A85" s="1">
        <v>83</v>
      </c>
      <c r="B85" s="1" t="s">
        <v>88</v>
      </c>
      <c r="C85" s="1" t="str">
        <f>DEC2HEX(HEX2DEC("20010") + (HEX2DEC("400") * Table1[[#This Row],[bank]]))</f>
        <v>34C10</v>
      </c>
      <c r="D85" s="1"/>
      <c r="E85" s="1" t="s">
        <v>286</v>
      </c>
      <c r="F85" s="2" t="s">
        <v>164</v>
      </c>
      <c r="G85" s="1" t="str">
        <f>CONCATENATE("names.append('",Table1[[#This Row],[name]],"')")</f>
        <v>names.append('Flood')</v>
      </c>
      <c r="H85" s="1" t="str">
        <f>CONCATENATE(".incbin ""chr/",Table1[[#This Row],[name]],".chr""")</f>
        <v>.incbin "chr/Flood.chr"</v>
      </c>
      <c r="I85" s="1" t="str">
        <f>CONCATENATE("chr",Table1[[#This Row],[name]],"_ID")</f>
        <v>chrFlood_ID</v>
      </c>
      <c r="J85" s="3" t="str">
        <f>CONCATENATE(Table1[[#This Row],[asmid]]," = $",Table1[[#This Row],[bankh]])</f>
        <v>chrFlood_ID = $53</v>
      </c>
      <c r="K85" s="3" t="str">
        <f>Table1[[#This Row],[bankh]]</f>
        <v>53</v>
      </c>
    </row>
    <row r="86" spans="1:11" x14ac:dyDescent="0.25">
      <c r="A86" s="1">
        <v>84</v>
      </c>
      <c r="B86" s="1" t="s">
        <v>89</v>
      </c>
      <c r="C86" s="1" t="str">
        <f>DEC2HEX(HEX2DEC("20010") + (HEX2DEC("400") * Table1[[#This Row],[bank]]))</f>
        <v>35010</v>
      </c>
      <c r="D86" s="1"/>
      <c r="E86" s="1" t="s">
        <v>287</v>
      </c>
      <c r="F86" s="2" t="s">
        <v>165</v>
      </c>
      <c r="G86" s="1" t="str">
        <f>CONCATENATE("names.append('",Table1[[#This Row],[name]],"')")</f>
        <v>names.append('Wind')</v>
      </c>
      <c r="H86" s="1" t="str">
        <f>CONCATENATE(".incbin ""chr/",Table1[[#This Row],[name]],".chr""")</f>
        <v>.incbin "chr/Wind.chr"</v>
      </c>
      <c r="I86" s="1" t="str">
        <f>CONCATENATE("chr",Table1[[#This Row],[name]],"_ID")</f>
        <v>chrWind_ID</v>
      </c>
      <c r="J86" s="3" t="str">
        <f>CONCATENATE(Table1[[#This Row],[asmid]]," = $",Table1[[#This Row],[bankh]])</f>
        <v>chrWind_ID = $54</v>
      </c>
      <c r="K86" s="3" t="str">
        <f>Table1[[#This Row],[bankh]]</f>
        <v>54</v>
      </c>
    </row>
    <row r="87" spans="1:11" x14ac:dyDescent="0.25">
      <c r="A87" s="1">
        <v>85</v>
      </c>
      <c r="B87" s="1" t="s">
        <v>90</v>
      </c>
      <c r="C87" s="1" t="str">
        <f>DEC2HEX(HEX2DEC("20010") + (HEX2DEC("400") * Table1[[#This Row],[bank]]))</f>
        <v>35410</v>
      </c>
      <c r="D87" s="1"/>
      <c r="E87" s="1" t="s">
        <v>288</v>
      </c>
      <c r="F87" s="2" t="s">
        <v>166</v>
      </c>
      <c r="G87" s="1" t="str">
        <f>CONCATENATE("names.append('",Table1[[#This Row],[name]],"')")</f>
        <v>names.append('Star')</v>
      </c>
      <c r="H87" s="1" t="str">
        <f>CONCATENATE(".incbin ""chr/",Table1[[#This Row],[name]],".chr""")</f>
        <v>.incbin "chr/Star.chr"</v>
      </c>
      <c r="I87" s="1" t="str">
        <f>CONCATENATE("chr",Table1[[#This Row],[name]],"_ID")</f>
        <v>chrStar_ID</v>
      </c>
      <c r="J87" s="3" t="str">
        <f>CONCATENATE(Table1[[#This Row],[asmid]]," = $",Table1[[#This Row],[bankh]])</f>
        <v>chrStar_ID = $55</v>
      </c>
      <c r="K87" s="3" t="str">
        <f>Table1[[#This Row],[bankh]]</f>
        <v>55</v>
      </c>
    </row>
    <row r="88" spans="1:11" x14ac:dyDescent="0.25">
      <c r="A88" s="1">
        <v>86</v>
      </c>
      <c r="B88" s="1" t="s">
        <v>91</v>
      </c>
      <c r="C88" s="1" t="str">
        <f>DEC2HEX(HEX2DEC("20010") + (HEX2DEC("400") * Table1[[#This Row],[bank]]))</f>
        <v>35810</v>
      </c>
      <c r="D88" s="1"/>
      <c r="E88" s="1" t="s">
        <v>289</v>
      </c>
      <c r="F88" s="2" t="s">
        <v>167</v>
      </c>
      <c r="G88" s="1" t="str">
        <f>CONCATENATE("names.append('",Table1[[#This Row],[name]],"')")</f>
        <v>names.append('ZenChan')</v>
      </c>
      <c r="H88" s="1" t="str">
        <f>CONCATENATE(".incbin ""chr/",Table1[[#This Row],[name]],".chr""")</f>
        <v>.incbin "chr/ZenChan.chr"</v>
      </c>
      <c r="I88" s="1" t="str">
        <f>CONCATENATE("chr",Table1[[#This Row],[name]],"_ID")</f>
        <v>chrZenChan_ID</v>
      </c>
      <c r="J88" s="3" t="str">
        <f>CONCATENATE(Table1[[#This Row],[asmid]]," = $",Table1[[#This Row],[bankh]])</f>
        <v>chrZenChan_ID = $56</v>
      </c>
      <c r="K88" s="3" t="str">
        <f>Table1[[#This Row],[bankh]]</f>
        <v>56</v>
      </c>
    </row>
    <row r="89" spans="1:11" x14ac:dyDescent="0.25">
      <c r="A89" s="1">
        <v>87</v>
      </c>
      <c r="B89" s="1" t="s">
        <v>92</v>
      </c>
      <c r="C89" s="1" t="str">
        <f>DEC2HEX(HEX2DEC("20010") + (HEX2DEC("400") * Table1[[#This Row],[bank]]))</f>
        <v>35C10</v>
      </c>
      <c r="D89" s="1"/>
      <c r="E89" s="1" t="s">
        <v>290</v>
      </c>
      <c r="F89" s="2" t="s">
        <v>168</v>
      </c>
      <c r="G89" s="1" t="str">
        <f>CONCATENATE("names.append('",Table1[[#This Row],[name]],"')")</f>
        <v>names.append('Banebou')</v>
      </c>
      <c r="H89" s="1" t="str">
        <f>CONCATENATE(".incbin ""chr/",Table1[[#This Row],[name]],".chr""")</f>
        <v>.incbin "chr/Banebou.chr"</v>
      </c>
      <c r="I89" s="1" t="str">
        <f>CONCATENATE("chr",Table1[[#This Row],[name]],"_ID")</f>
        <v>chrBanebou_ID</v>
      </c>
      <c r="J89" s="3" t="str">
        <f>CONCATENATE(Table1[[#This Row],[asmid]]," = $",Table1[[#This Row],[bankh]])</f>
        <v>chrBanebou_ID = $57</v>
      </c>
      <c r="K89" s="3" t="str">
        <f>Table1[[#This Row],[bankh]]</f>
        <v>57</v>
      </c>
    </row>
    <row r="90" spans="1:11" x14ac:dyDescent="0.25">
      <c r="A90" s="1">
        <v>88</v>
      </c>
      <c r="B90" s="1" t="s">
        <v>93</v>
      </c>
      <c r="C90" s="1" t="str">
        <f>DEC2HEX(HEX2DEC("20010") + (HEX2DEC("400") * Table1[[#This Row],[bank]]))</f>
        <v>36010</v>
      </c>
      <c r="D90" s="1"/>
      <c r="E90" s="1" t="s">
        <v>291</v>
      </c>
      <c r="F90" s="2" t="s">
        <v>169</v>
      </c>
      <c r="G90" s="1" t="str">
        <f>CONCATENATE("names.append('",Table1[[#This Row],[name]],"')")</f>
        <v>names.append('Blobby')</v>
      </c>
      <c r="H90" s="1" t="str">
        <f>CONCATENATE(".incbin ""chr/",Table1[[#This Row],[name]],".chr""")</f>
        <v>.incbin "chr/Blobby.chr"</v>
      </c>
      <c r="I90" s="1" t="str">
        <f>CONCATENATE("chr",Table1[[#This Row],[name]],"_ID")</f>
        <v>chrBlobby_ID</v>
      </c>
      <c r="J90" s="3" t="str">
        <f>CONCATENATE(Table1[[#This Row],[asmid]]," = $",Table1[[#This Row],[bankh]])</f>
        <v>chrBlobby_ID = $58</v>
      </c>
      <c r="K90" s="3" t="str">
        <f>Table1[[#This Row],[bankh]]</f>
        <v>58</v>
      </c>
    </row>
    <row r="91" spans="1:11" x14ac:dyDescent="0.25">
      <c r="A91" s="1">
        <v>89</v>
      </c>
      <c r="B91" s="1" t="s">
        <v>94</v>
      </c>
      <c r="C91" s="1" t="str">
        <f>DEC2HEX(HEX2DEC("20010") + (HEX2DEC("400") * Table1[[#This Row],[bank]]))</f>
        <v>36410</v>
      </c>
      <c r="D91" s="1"/>
      <c r="E91" s="1" t="s">
        <v>292</v>
      </c>
      <c r="F91" s="2" t="s">
        <v>170</v>
      </c>
      <c r="G91" s="1" t="str">
        <f>CONCATENATE("names.append('",Table1[[#This Row],[name]],"')")</f>
        <v>names.append('Pulpul')</v>
      </c>
      <c r="H91" s="1" t="str">
        <f>CONCATENATE(".incbin ""chr/",Table1[[#This Row],[name]],".chr""")</f>
        <v>.incbin "chr/Pulpul.chr"</v>
      </c>
      <c r="I91" s="1" t="str">
        <f>CONCATENATE("chr",Table1[[#This Row],[name]],"_ID")</f>
        <v>chrPulpul_ID</v>
      </c>
      <c r="J91" s="3" t="str">
        <f>CONCATENATE(Table1[[#This Row],[asmid]]," = $",Table1[[#This Row],[bankh]])</f>
        <v>chrPulpul_ID = $59</v>
      </c>
      <c r="K91" s="3" t="str">
        <f>Table1[[#This Row],[bankh]]</f>
        <v>59</v>
      </c>
    </row>
    <row r="92" spans="1:11" x14ac:dyDescent="0.25">
      <c r="A92" s="1">
        <v>90</v>
      </c>
      <c r="B92" s="1" t="s">
        <v>95</v>
      </c>
      <c r="C92" s="1" t="str">
        <f>DEC2HEX(HEX2DEC("20010") + (HEX2DEC("400") * Table1[[#This Row],[bank]]))</f>
        <v>36810</v>
      </c>
      <c r="D92" s="1"/>
      <c r="E92" s="1" t="s">
        <v>293</v>
      </c>
      <c r="F92" s="2" t="s">
        <v>171</v>
      </c>
      <c r="G92" s="1" t="str">
        <f>CONCATENATE("names.append('",Table1[[#This Row],[name]],"')")</f>
        <v>names.append('Needler')</v>
      </c>
      <c r="H92" s="1" t="str">
        <f>CONCATENATE(".incbin ""chr/",Table1[[#This Row],[name]],".chr""")</f>
        <v>.incbin "chr/Needler.chr"</v>
      </c>
      <c r="I92" s="1" t="str">
        <f>CONCATENATE("chr",Table1[[#This Row],[name]],"_ID")</f>
        <v>chrNeedler_ID</v>
      </c>
      <c r="J92" s="3" t="str">
        <f>CONCATENATE(Table1[[#This Row],[asmid]]," = $",Table1[[#This Row],[bankh]])</f>
        <v>chrNeedler_ID = $5A</v>
      </c>
      <c r="K92" s="3" t="str">
        <f>Table1[[#This Row],[bankh]]</f>
        <v>5A</v>
      </c>
    </row>
    <row r="93" spans="1:11" x14ac:dyDescent="0.25">
      <c r="A93" s="1">
        <v>91</v>
      </c>
      <c r="B93" s="1" t="s">
        <v>96</v>
      </c>
      <c r="C93" s="1" t="str">
        <f>DEC2HEX(HEX2DEC("20010") + (HEX2DEC("400") * Table1[[#This Row],[bank]]))</f>
        <v>36C10</v>
      </c>
      <c r="D93" s="1"/>
      <c r="E93" s="1" t="s">
        <v>294</v>
      </c>
      <c r="F93" s="2" t="s">
        <v>172</v>
      </c>
      <c r="G93" s="1" t="str">
        <f>CONCATENATE("names.append('",Table1[[#This Row],[name]],"')")</f>
        <v>names.append('Invader')</v>
      </c>
      <c r="H93" s="1" t="str">
        <f>CONCATENATE(".incbin ""chr/",Table1[[#This Row],[name]],".chr""")</f>
        <v>.incbin "chr/Invader.chr"</v>
      </c>
      <c r="I93" s="1" t="str">
        <f>CONCATENATE("chr",Table1[[#This Row],[name]],"_ID")</f>
        <v>chrInvader_ID</v>
      </c>
      <c r="J93" s="3" t="str">
        <f>CONCATENATE(Table1[[#This Row],[asmid]]," = $",Table1[[#This Row],[bankh]])</f>
        <v>chrInvader_ID = $5B</v>
      </c>
      <c r="K93" s="3" t="str">
        <f>Table1[[#This Row],[bankh]]</f>
        <v>5B</v>
      </c>
    </row>
    <row r="94" spans="1:11" x14ac:dyDescent="0.25">
      <c r="A94" s="1">
        <v>92</v>
      </c>
      <c r="B94" s="1" t="s">
        <v>97</v>
      </c>
      <c r="C94" s="1" t="str">
        <f>DEC2HEX(HEX2DEC("20010") + (HEX2DEC("400") * Table1[[#This Row],[bank]]))</f>
        <v>37010</v>
      </c>
      <c r="D94" s="1"/>
      <c r="E94" s="1" t="s">
        <v>295</v>
      </c>
      <c r="F94" s="2" t="s">
        <v>173</v>
      </c>
      <c r="G94" s="1" t="str">
        <f>CONCATENATE("names.append('",Table1[[#This Row],[name]],"')")</f>
        <v>names.append('Monsta')</v>
      </c>
      <c r="H94" s="1" t="str">
        <f>CONCATENATE(".incbin ""chr/",Table1[[#This Row],[name]],".chr""")</f>
        <v>.incbin "chr/Monsta.chr"</v>
      </c>
      <c r="I94" s="1" t="str">
        <f>CONCATENATE("chr",Table1[[#This Row],[name]],"_ID")</f>
        <v>chrMonsta_ID</v>
      </c>
      <c r="J94" s="3" t="str">
        <f>CONCATENATE(Table1[[#This Row],[asmid]]," = $",Table1[[#This Row],[bankh]])</f>
        <v>chrMonsta_ID = $5C</v>
      </c>
      <c r="K94" s="3" t="str">
        <f>Table1[[#This Row],[bankh]]</f>
        <v>5C</v>
      </c>
    </row>
    <row r="95" spans="1:11" x14ac:dyDescent="0.25">
      <c r="A95" s="1">
        <v>93</v>
      </c>
      <c r="B95" s="1" t="s">
        <v>98</v>
      </c>
      <c r="C95" s="1" t="str">
        <f>DEC2HEX(HEX2DEC("20010") + (HEX2DEC("400") * Table1[[#This Row],[bank]]))</f>
        <v>37410</v>
      </c>
      <c r="D95" s="1"/>
      <c r="E95" s="1" t="s">
        <v>296</v>
      </c>
      <c r="F95" s="2" t="s">
        <v>174</v>
      </c>
      <c r="G95" s="1" t="str">
        <f>CONCATENATE("names.append('",Table1[[#This Row],[name]],"')")</f>
        <v>names.append('HeitaiKun')</v>
      </c>
      <c r="H95" s="1" t="str">
        <f>CONCATENATE(".incbin ""chr/",Table1[[#This Row],[name]],".chr""")</f>
        <v>.incbin "chr/HeitaiKun.chr"</v>
      </c>
      <c r="I95" s="1" t="str">
        <f>CONCATENATE("chr",Table1[[#This Row],[name]],"_ID")</f>
        <v>chrHeitaiKun_ID</v>
      </c>
      <c r="J95" s="3" t="str">
        <f>CONCATENATE(Table1[[#This Row],[asmid]]," = $",Table1[[#This Row],[bankh]])</f>
        <v>chrHeitaiKun_ID = $5D</v>
      </c>
      <c r="K95" s="3" t="str">
        <f>Table1[[#This Row],[bankh]]</f>
        <v>5D</v>
      </c>
    </row>
    <row r="96" spans="1:11" x14ac:dyDescent="0.25">
      <c r="A96" s="1">
        <v>94</v>
      </c>
      <c r="B96" s="1" t="s">
        <v>99</v>
      </c>
      <c r="C96" s="1" t="str">
        <f>DEC2HEX(HEX2DEC("20010") + (HEX2DEC("400") * Table1[[#This Row],[bank]]))</f>
        <v>37810</v>
      </c>
      <c r="D96" s="1"/>
      <c r="E96" s="1" t="s">
        <v>297</v>
      </c>
      <c r="F96" s="2" t="s">
        <v>175</v>
      </c>
      <c r="G96" s="1" t="str">
        <f>CONCATENATE("names.append('",Table1[[#This Row],[name]],"')")</f>
        <v>names.append('CarryHeli')</v>
      </c>
      <c r="H96" s="1" t="str">
        <f>CONCATENATE(".incbin ""chr/",Table1[[#This Row],[name]],".chr""")</f>
        <v>.incbin "chr/CarryHeli.chr"</v>
      </c>
      <c r="I96" s="1" t="str">
        <f>CONCATENATE("chr",Table1[[#This Row],[name]],"_ID")</f>
        <v>chrCarryHeli_ID</v>
      </c>
      <c r="J96" s="3" t="str">
        <f>CONCATENATE(Table1[[#This Row],[asmid]]," = $",Table1[[#This Row],[bankh]])</f>
        <v>chrCarryHeli_ID = $5E</v>
      </c>
      <c r="K96" s="3" t="str">
        <f>Table1[[#This Row],[bankh]]</f>
        <v>5E</v>
      </c>
    </row>
    <row r="97" spans="1:11" x14ac:dyDescent="0.25">
      <c r="A97" s="1">
        <v>95</v>
      </c>
      <c r="B97" s="1" t="s">
        <v>100</v>
      </c>
      <c r="C97" s="1" t="str">
        <f>DEC2HEX(HEX2DEC("20010") + (HEX2DEC("400") * Table1[[#This Row],[bank]]))</f>
        <v>37C10</v>
      </c>
      <c r="D97" s="1"/>
      <c r="E97" s="1" t="s">
        <v>298</v>
      </c>
      <c r="F97" s="2" t="s">
        <v>176</v>
      </c>
      <c r="G97" s="1" t="str">
        <f>CONCATENATE("names.append('",Table1[[#This Row],[name]],"')")</f>
        <v>names.append('Flarion')</v>
      </c>
      <c r="H97" s="1" t="str">
        <f>CONCATENATE(".incbin ""chr/",Table1[[#This Row],[name]],".chr""")</f>
        <v>.incbin "chr/Flarion.chr"</v>
      </c>
      <c r="I97" s="1" t="str">
        <f>CONCATENATE("chr",Table1[[#This Row],[name]],"_ID")</f>
        <v>chrFlarion_ID</v>
      </c>
      <c r="J97" s="3" t="str">
        <f>CONCATENATE(Table1[[#This Row],[asmid]]," = $",Table1[[#This Row],[bankh]])</f>
        <v>chrFlarion_ID = $5F</v>
      </c>
      <c r="K97" s="3" t="str">
        <f>Table1[[#This Row],[bankh]]</f>
        <v>5F</v>
      </c>
    </row>
    <row r="98" spans="1:11" x14ac:dyDescent="0.25">
      <c r="A98" s="1">
        <v>96</v>
      </c>
      <c r="B98" s="1" t="s">
        <v>101</v>
      </c>
      <c r="C98" s="1" t="str">
        <f>DEC2HEX(HEX2DEC("20010") + (HEX2DEC("400") * Table1[[#This Row],[bank]]))</f>
        <v>38010</v>
      </c>
      <c r="D98" s="1"/>
      <c r="E98" s="1" t="s">
        <v>177</v>
      </c>
      <c r="F98" s="2" t="s">
        <v>177</v>
      </c>
      <c r="G98" s="1" t="str">
        <f>CONCATENATE("names.append('",Table1[[#This Row],[name]],"')")</f>
        <v>names.append('Snagger')</v>
      </c>
      <c r="H98" s="1" t="str">
        <f>CONCATENATE(".incbin ""chr/",Table1[[#This Row],[name]],".chr""")</f>
        <v>.incbin "chr/Snagger.chr"</v>
      </c>
      <c r="I98" s="1" t="str">
        <f>CONCATENATE("chr",Table1[[#This Row],[name]],"_ID")</f>
        <v>chrSnagger_ID</v>
      </c>
      <c r="J98" s="3" t="str">
        <f>CONCATENATE(Table1[[#This Row],[asmid]]," = $",Table1[[#This Row],[bankh]])</f>
        <v>chrSnagger_ID = $60</v>
      </c>
      <c r="K98" s="3" t="str">
        <f>Table1[[#This Row],[bankh]]</f>
        <v>60</v>
      </c>
    </row>
    <row r="99" spans="1:11" x14ac:dyDescent="0.25">
      <c r="A99" s="1">
        <v>97</v>
      </c>
      <c r="B99" s="1" t="s">
        <v>102</v>
      </c>
      <c r="C99" s="1" t="str">
        <f>DEC2HEX(HEX2DEC("20010") + (HEX2DEC("400") * Table1[[#This Row],[bank]]))</f>
        <v>38410</v>
      </c>
      <c r="D99" s="1"/>
      <c r="E99" s="1" t="s">
        <v>178</v>
      </c>
      <c r="F99" s="2" t="s">
        <v>178</v>
      </c>
      <c r="G99" s="1" t="str">
        <f>CONCATENATE("names.append('",Table1[[#This Row],[name]],"')")</f>
        <v>names.append('Mantichar')</v>
      </c>
      <c r="H99" s="1" t="str">
        <f>CONCATENATE(".incbin ""chr/",Table1[[#This Row],[name]],".chr""")</f>
        <v>.incbin "chr/Mantichar.chr"</v>
      </c>
      <c r="I99" s="1" t="str">
        <f>CONCATENATE("chr",Table1[[#This Row],[name]],"_ID")</f>
        <v>chrMantichar_ID</v>
      </c>
      <c r="J99" s="3" t="str">
        <f>CONCATENATE(Table1[[#This Row],[asmid]]," = $",Table1[[#This Row],[bankh]])</f>
        <v>chrMantichar_ID = $61</v>
      </c>
      <c r="K99" s="3" t="str">
        <f>Table1[[#This Row],[bankh]]</f>
        <v>61</v>
      </c>
    </row>
    <row r="100" spans="1:11" x14ac:dyDescent="0.25">
      <c r="A100" s="1">
        <v>98</v>
      </c>
      <c r="B100" s="1" t="s">
        <v>103</v>
      </c>
      <c r="C100" s="1" t="str">
        <f>DEC2HEX(HEX2DEC("20010") + (HEX2DEC("400") * Table1[[#This Row],[bank]]))</f>
        <v>38810</v>
      </c>
      <c r="D100" s="1"/>
      <c r="E100" s="1" t="s">
        <v>302</v>
      </c>
      <c r="F100" s="2" t="s">
        <v>179</v>
      </c>
      <c r="G100" s="1" t="str">
        <f>CONCATENATE("names.append('",Table1[[#This Row],[name]],"')")</f>
        <v>names.append('RoboZen_A')</v>
      </c>
      <c r="H100" s="1" t="str">
        <f>CONCATENATE(".incbin ""chr/",Table1[[#This Row],[name]],".chr""")</f>
        <v>.incbin "chr/RoboZen_A.chr"</v>
      </c>
      <c r="I100" s="1" t="str">
        <f>CONCATENATE("chr",Table1[[#This Row],[name]],"_ID")</f>
        <v>chrRoboZen_A_ID</v>
      </c>
      <c r="J100" s="3" t="str">
        <f>CONCATENATE(Table1[[#This Row],[asmid]]," = $",Table1[[#This Row],[bankh]])</f>
        <v>chrRoboZen_A_ID = $62</v>
      </c>
      <c r="K100" s="3" t="str">
        <f>Table1[[#This Row],[bankh]]</f>
        <v>62</v>
      </c>
    </row>
    <row r="101" spans="1:11" x14ac:dyDescent="0.25">
      <c r="A101" s="1">
        <v>99</v>
      </c>
      <c r="B101" s="1" t="s">
        <v>104</v>
      </c>
      <c r="C101" s="1" t="str">
        <f>DEC2HEX(HEX2DEC("20010") + (HEX2DEC("400") * Table1[[#This Row],[bank]]))</f>
        <v>38C10</v>
      </c>
      <c r="D101" s="1"/>
      <c r="E101" s="1" t="s">
        <v>303</v>
      </c>
      <c r="F101" s="2" t="s">
        <v>180</v>
      </c>
      <c r="G101" s="1" t="str">
        <f>CONCATENATE("names.append('",Table1[[#This Row],[name]],"')")</f>
        <v>names.append('RoboZen_B')</v>
      </c>
      <c r="H101" s="1" t="str">
        <f>CONCATENATE(".incbin ""chr/",Table1[[#This Row],[name]],".chr""")</f>
        <v>.incbin "chr/RoboZen_B.chr"</v>
      </c>
      <c r="I101" s="1" t="str">
        <f>CONCATENATE("chr",Table1[[#This Row],[name]],"_ID")</f>
        <v>chrRoboZen_B_ID</v>
      </c>
      <c r="J101" s="3" t="str">
        <f>CONCATENATE(Table1[[#This Row],[asmid]]," = $",Table1[[#This Row],[bankh]])</f>
        <v>chrRoboZen_B_ID = $63</v>
      </c>
      <c r="K101" s="3" t="str">
        <f>Table1[[#This Row],[bankh]]</f>
        <v>63</v>
      </c>
    </row>
    <row r="102" spans="1:11" x14ac:dyDescent="0.25">
      <c r="A102" s="1">
        <v>100</v>
      </c>
      <c r="B102" s="1" t="s">
        <v>105</v>
      </c>
      <c r="C102" s="1" t="str">
        <f>DEC2HEX(HEX2DEC("20010") + (HEX2DEC("400") * Table1[[#This Row],[bank]]))</f>
        <v>39010</v>
      </c>
      <c r="D102" s="1"/>
      <c r="E102" s="1" t="s">
        <v>304</v>
      </c>
      <c r="F102" s="2" t="s">
        <v>181</v>
      </c>
      <c r="G102" s="1" t="str">
        <f>CONCATENATE("names.append('",Table1[[#This Row],[name]],"')")</f>
        <v>names.append('RoboZen_C')</v>
      </c>
      <c r="H102" s="1" t="str">
        <f>CONCATENATE(".incbin ""chr/",Table1[[#This Row],[name]],".chr""")</f>
        <v>.incbin "chr/RoboZen_C.chr"</v>
      </c>
      <c r="I102" s="1" t="str">
        <f>CONCATENATE("chr",Table1[[#This Row],[name]],"_ID")</f>
        <v>chrRoboZen_C_ID</v>
      </c>
      <c r="J102" s="3" t="str">
        <f>CONCATENATE(Table1[[#This Row],[asmid]]," = $",Table1[[#This Row],[bankh]])</f>
        <v>chrRoboZen_C_ID = $64</v>
      </c>
      <c r="K102" s="3" t="str">
        <f>Table1[[#This Row],[bankh]]</f>
        <v>64</v>
      </c>
    </row>
    <row r="103" spans="1:11" x14ac:dyDescent="0.25">
      <c r="A103" s="1">
        <v>101</v>
      </c>
      <c r="B103" s="1" t="s">
        <v>106</v>
      </c>
      <c r="C103" s="1" t="str">
        <f>DEC2HEX(HEX2DEC("20010") + (HEX2DEC("400") * Table1[[#This Row],[bank]]))</f>
        <v>39410</v>
      </c>
      <c r="D103" s="1"/>
      <c r="E103" s="1" t="s">
        <v>305</v>
      </c>
      <c r="F103" s="2" t="s">
        <v>182</v>
      </c>
      <c r="G103" s="1" t="str">
        <f>CONCATENATE("names.append('",Table1[[#This Row],[name]],"')")</f>
        <v>names.append('RoboZen_D')</v>
      </c>
      <c r="H103" s="1" t="str">
        <f>CONCATENATE(".incbin ""chr/",Table1[[#This Row],[name]],".chr""")</f>
        <v>.incbin "chr/RoboZen_D.chr"</v>
      </c>
      <c r="I103" s="1" t="str">
        <f>CONCATENATE("chr",Table1[[#This Row],[name]],"_ID")</f>
        <v>chrRoboZen_D_ID</v>
      </c>
      <c r="J103" s="3" t="str">
        <f>CONCATENATE(Table1[[#This Row],[asmid]]," = $",Table1[[#This Row],[bankh]])</f>
        <v>chrRoboZen_D_ID = $65</v>
      </c>
      <c r="K103" s="3" t="str">
        <f>Table1[[#This Row],[bankh]]</f>
        <v>65</v>
      </c>
    </row>
    <row r="104" spans="1:11" x14ac:dyDescent="0.25">
      <c r="A104" s="1">
        <v>102</v>
      </c>
      <c r="B104" s="1" t="s">
        <v>107</v>
      </c>
      <c r="C104" s="1" t="str">
        <f>DEC2HEX(HEX2DEC("20010") + (HEX2DEC("400") * Table1[[#This Row],[bank]]))</f>
        <v>39810</v>
      </c>
      <c r="D104" s="1"/>
      <c r="E104" s="1" t="s">
        <v>183</v>
      </c>
      <c r="F104" s="2" t="s">
        <v>183</v>
      </c>
      <c r="G104" s="1" t="str">
        <f>CONCATENATE("names.append('",Table1[[#This Row],[name]],"')")</f>
        <v>names.append('Trash')</v>
      </c>
      <c r="H104" s="1" t="str">
        <f>CONCATENATE(".incbin ""chr/",Table1[[#This Row],[name]],".chr""")</f>
        <v>.incbin "chr/Trash.chr"</v>
      </c>
      <c r="I104" s="1" t="str">
        <f>CONCATENATE("chr",Table1[[#This Row],[name]],"_ID")</f>
        <v>chrTrash_ID</v>
      </c>
      <c r="J104" s="3" t="str">
        <f>CONCATENATE(Table1[[#This Row],[asmid]]," = $",Table1[[#This Row],[bankh]])</f>
        <v>chrTrash_ID = $66</v>
      </c>
      <c r="K104" s="3" t="str">
        <f>Table1[[#This Row],[bankh]]</f>
        <v>66</v>
      </c>
    </row>
    <row r="105" spans="1:11" x14ac:dyDescent="0.25">
      <c r="A105" s="1">
        <v>103</v>
      </c>
      <c r="B105" s="1" t="s">
        <v>108</v>
      </c>
      <c r="C105" s="1" t="str">
        <f>DEC2HEX(HEX2DEC("20010") + (HEX2DEC("400") * Table1[[#This Row],[bank]]))</f>
        <v>39C10</v>
      </c>
      <c r="D105" s="1"/>
      <c r="E105" s="1" t="s">
        <v>299</v>
      </c>
      <c r="F105" s="2" t="s">
        <v>184</v>
      </c>
      <c r="G105" s="1" t="str">
        <f>CONCATENATE("names.append('",Table1[[#This Row],[name]],"')")</f>
        <v>names.append('Kirikabun')</v>
      </c>
      <c r="H105" s="1" t="str">
        <f>CONCATENATE(".incbin ""chr/",Table1[[#This Row],[name]],".chr""")</f>
        <v>.incbin "chr/Kirikabun.chr"</v>
      </c>
      <c r="I105" s="1" t="str">
        <f>CONCATENATE("chr",Table1[[#This Row],[name]],"_ID")</f>
        <v>chrKirikabun_ID</v>
      </c>
      <c r="J105" s="3" t="str">
        <f>CONCATENATE(Table1[[#This Row],[asmid]]," = $",Table1[[#This Row],[bankh]])</f>
        <v>chrKirikabun_ID = $67</v>
      </c>
      <c r="K105" s="3" t="str">
        <f>Table1[[#This Row],[bankh]]</f>
        <v>67</v>
      </c>
    </row>
    <row r="106" spans="1:11" x14ac:dyDescent="0.25">
      <c r="A106" s="1">
        <v>104</v>
      </c>
      <c r="B106" s="1" t="s">
        <v>109</v>
      </c>
      <c r="C106" s="1" t="str">
        <f>DEC2HEX(HEX2DEC("20010") + (HEX2DEC("400") * Table1[[#This Row],[bank]]))</f>
        <v>3A010</v>
      </c>
      <c r="D106" s="1"/>
      <c r="E106" s="1" t="s">
        <v>185</v>
      </c>
      <c r="F106" s="2" t="s">
        <v>185</v>
      </c>
      <c r="G106" s="1" t="str">
        <f>CONCATENATE("names.append('",Table1[[#This Row],[name]],"')")</f>
        <v>names.append('Twizzer')</v>
      </c>
      <c r="H106" s="1" t="str">
        <f>CONCATENATE(".incbin ""chr/",Table1[[#This Row],[name]],".chr""")</f>
        <v>.incbin "chr/Twizzer.chr"</v>
      </c>
      <c r="I106" s="1" t="str">
        <f>CONCATENATE("chr",Table1[[#This Row],[name]],"_ID")</f>
        <v>chrTwizzer_ID</v>
      </c>
      <c r="J106" s="3" t="str">
        <f>CONCATENATE(Table1[[#This Row],[asmid]]," = $",Table1[[#This Row],[bankh]])</f>
        <v>chrTwizzer_ID = $68</v>
      </c>
      <c r="K106" s="3" t="str">
        <f>Table1[[#This Row],[bankh]]</f>
        <v>68</v>
      </c>
    </row>
    <row r="107" spans="1:11" x14ac:dyDescent="0.25">
      <c r="A107" s="1">
        <v>105</v>
      </c>
      <c r="B107" s="1" t="s">
        <v>110</v>
      </c>
      <c r="C107" s="1" t="str">
        <f>DEC2HEX(HEX2DEC("20010") + (HEX2DEC("400") * Table1[[#This Row],[bank]]))</f>
        <v>3A410</v>
      </c>
      <c r="D107" s="1"/>
      <c r="E107" s="1" t="s">
        <v>300</v>
      </c>
      <c r="F107" s="2" t="s">
        <v>186</v>
      </c>
      <c r="G107" s="1" t="str">
        <f>CONCATENATE("names.append('",Table1[[#This Row],[name]],"')")</f>
        <v>names.append('DOH')</v>
      </c>
      <c r="H107" s="1" t="str">
        <f>CONCATENATE(".incbin ""chr/",Table1[[#This Row],[name]],".chr""")</f>
        <v>.incbin "chr/DOH.chr"</v>
      </c>
      <c r="I107" s="1" t="str">
        <f>CONCATENATE("chr",Table1[[#This Row],[name]],"_ID")</f>
        <v>chrDOH_ID</v>
      </c>
      <c r="J107" s="3" t="str">
        <f>CONCATENATE(Table1[[#This Row],[asmid]]," = $",Table1[[#This Row],[bankh]])</f>
        <v>chrDOH_ID = $69</v>
      </c>
      <c r="K107" s="3" t="str">
        <f>Table1[[#This Row],[bankh]]</f>
        <v>69</v>
      </c>
    </row>
    <row r="108" spans="1:11" x14ac:dyDescent="0.25">
      <c r="A108" s="1">
        <v>106</v>
      </c>
      <c r="B108" s="1" t="s">
        <v>111</v>
      </c>
      <c r="C108" s="1" t="str">
        <f>DEC2HEX(HEX2DEC("20010") + (HEX2DEC("400") * Table1[[#This Row],[bank]]))</f>
        <v>3A810</v>
      </c>
      <c r="D108" s="1"/>
      <c r="E108" s="1" t="s">
        <v>306</v>
      </c>
      <c r="F108" s="2" t="s">
        <v>187</v>
      </c>
      <c r="G108" s="1" t="str">
        <f>CONCATENATE("names.append('",Table1[[#This Row],[name]],"')")</f>
        <v>names.append('Drunk_A')</v>
      </c>
      <c r="H108" s="1" t="str">
        <f>CONCATENATE(".incbin ""chr/",Table1[[#This Row],[name]],".chr""")</f>
        <v>.incbin "chr/Drunk_A.chr"</v>
      </c>
      <c r="I108" s="1" t="str">
        <f>CONCATENATE("chr",Table1[[#This Row],[name]],"_ID")</f>
        <v>chrDrunk_A_ID</v>
      </c>
      <c r="J108" s="3" t="str">
        <f>CONCATENATE(Table1[[#This Row],[asmid]]," = $",Table1[[#This Row],[bankh]])</f>
        <v>chrDrunk_A_ID = $6A</v>
      </c>
      <c r="K108" s="3" t="str">
        <f>Table1[[#This Row],[bankh]]</f>
        <v>6A</v>
      </c>
    </row>
    <row r="109" spans="1:11" x14ac:dyDescent="0.25">
      <c r="A109" s="1">
        <v>107</v>
      </c>
      <c r="B109" s="1" t="s">
        <v>112</v>
      </c>
      <c r="C109" s="1" t="str">
        <f>DEC2HEX(HEX2DEC("20010") + (HEX2DEC("400") * Table1[[#This Row],[bank]]))</f>
        <v>3AC10</v>
      </c>
      <c r="D109" s="1"/>
      <c r="E109" s="1" t="s">
        <v>307</v>
      </c>
      <c r="F109" s="2" t="s">
        <v>188</v>
      </c>
      <c r="G109" s="1" t="str">
        <f>CONCATENATE("names.append('",Table1[[#This Row],[name]],"')")</f>
        <v>names.append('Drunk_B')</v>
      </c>
      <c r="H109" s="1" t="str">
        <f>CONCATENATE(".incbin ""chr/",Table1[[#This Row],[name]],".chr""")</f>
        <v>.incbin "chr/Drunk_B.chr"</v>
      </c>
      <c r="I109" s="1" t="str">
        <f>CONCATENATE("chr",Table1[[#This Row],[name]],"_ID")</f>
        <v>chrDrunk_B_ID</v>
      </c>
      <c r="J109" s="3" t="str">
        <f>CONCATENATE(Table1[[#This Row],[asmid]]," = $",Table1[[#This Row],[bankh]])</f>
        <v>chrDrunk_B_ID = $6B</v>
      </c>
      <c r="K109" s="3" t="str">
        <f>Table1[[#This Row],[bankh]]</f>
        <v>6B</v>
      </c>
    </row>
    <row r="110" spans="1:11" x14ac:dyDescent="0.25">
      <c r="A110" s="1">
        <v>108</v>
      </c>
      <c r="B110" s="1" t="s">
        <v>113</v>
      </c>
      <c r="C110" s="1" t="str">
        <f>DEC2HEX(HEX2DEC("20010") + (HEX2DEC("400") * Table1[[#This Row],[bank]]))</f>
        <v>3B010</v>
      </c>
      <c r="D110" s="1"/>
      <c r="E110" s="1" t="s">
        <v>308</v>
      </c>
      <c r="F110" s="2" t="s">
        <v>189</v>
      </c>
      <c r="G110" s="1" t="str">
        <f>CONCATENATE("names.append('",Table1[[#This Row],[name]],"')")</f>
        <v>names.append('Springit_A')</v>
      </c>
      <c r="H110" s="1" t="str">
        <f>CONCATENATE(".incbin ""chr/",Table1[[#This Row],[name]],".chr""")</f>
        <v>.incbin "chr/Springit_A.chr"</v>
      </c>
      <c r="I110" s="1" t="str">
        <f>CONCATENATE("chr",Table1[[#This Row],[name]],"_ID")</f>
        <v>chrSpringit_A_ID</v>
      </c>
      <c r="J110" s="3" t="str">
        <f>CONCATENATE(Table1[[#This Row],[asmid]]," = $",Table1[[#This Row],[bankh]])</f>
        <v>chrSpringit_A_ID = $6C</v>
      </c>
      <c r="K110" s="3" t="str">
        <f>Table1[[#This Row],[bankh]]</f>
        <v>6C</v>
      </c>
    </row>
    <row r="111" spans="1:11" x14ac:dyDescent="0.25">
      <c r="A111" s="1">
        <v>109</v>
      </c>
      <c r="B111" s="1" t="s">
        <v>114</v>
      </c>
      <c r="C111" s="1" t="str">
        <f>DEC2HEX(HEX2DEC("20010") + (HEX2DEC("400") * Table1[[#This Row],[bank]]))</f>
        <v>3B410</v>
      </c>
      <c r="D111" s="1"/>
      <c r="E111" s="1" t="s">
        <v>309</v>
      </c>
      <c r="F111" s="2" t="s">
        <v>190</v>
      </c>
      <c r="G111" s="1" t="str">
        <f>CONCATENATE("names.append('",Table1[[#This Row],[name]],"')")</f>
        <v>names.append('Springit_B')</v>
      </c>
      <c r="H111" s="1" t="str">
        <f>CONCATENATE(".incbin ""chr/",Table1[[#This Row],[name]],".chr""")</f>
        <v>.incbin "chr/Springit_B.chr"</v>
      </c>
      <c r="I111" s="1" t="str">
        <f>CONCATENATE("chr",Table1[[#This Row],[name]],"_ID")</f>
        <v>chrSpringit_B_ID</v>
      </c>
      <c r="J111" s="3" t="str">
        <f>CONCATENATE(Table1[[#This Row],[asmid]]," = $",Table1[[#This Row],[bankh]])</f>
        <v>chrSpringit_B_ID = $6D</v>
      </c>
      <c r="K111" s="3" t="str">
        <f>Table1[[#This Row],[bankh]]</f>
        <v>6D</v>
      </c>
    </row>
    <row r="112" spans="1:11" x14ac:dyDescent="0.25">
      <c r="A112" s="1">
        <v>110</v>
      </c>
      <c r="B112" s="1" t="s">
        <v>115</v>
      </c>
      <c r="C112" s="1" t="str">
        <f>DEC2HEX(HEX2DEC("20010") + (HEX2DEC("400") * Table1[[#This Row],[bank]]))</f>
        <v>3B810</v>
      </c>
      <c r="D112" s="1"/>
      <c r="E112" s="1" t="s">
        <v>301</v>
      </c>
      <c r="F112" s="2" t="s">
        <v>191</v>
      </c>
      <c r="G112" s="1" t="str">
        <f>CONCATENATE("names.append('",Table1[[#This Row],[name]],"')")</f>
        <v>names.append('Chucker')</v>
      </c>
      <c r="H112" s="1" t="str">
        <f>CONCATENATE(".incbin ""chr/",Table1[[#This Row],[name]],".chr""")</f>
        <v>.incbin "chr/Chucker.chr"</v>
      </c>
      <c r="I112" s="1" t="str">
        <f>CONCATENATE("chr",Table1[[#This Row],[name]],"_ID")</f>
        <v>chrChucker_ID</v>
      </c>
      <c r="J112" s="3" t="str">
        <f>CONCATENATE(Table1[[#This Row],[asmid]]," = $",Table1[[#This Row],[bankh]])</f>
        <v>chrChucker_ID = $6E</v>
      </c>
      <c r="K112" s="3" t="str">
        <f>Table1[[#This Row],[bankh]]</f>
        <v>6E</v>
      </c>
    </row>
    <row r="113" spans="1:11" x14ac:dyDescent="0.25">
      <c r="A113" s="1">
        <v>111</v>
      </c>
      <c r="B113" s="1" t="s">
        <v>116</v>
      </c>
      <c r="C113" s="1" t="str">
        <f>DEC2HEX(HEX2DEC("20010") + (HEX2DEC("400") * Table1[[#This Row],[bank]]))</f>
        <v>3BC10</v>
      </c>
      <c r="D113" s="1"/>
      <c r="E113" s="1" t="s">
        <v>310</v>
      </c>
      <c r="F113" s="2" t="s">
        <v>192</v>
      </c>
      <c r="G113" s="1" t="str">
        <f>CONCATENATE("names.append('",Table1[[#This Row],[name]],"')")</f>
        <v>names.append('Free6F')</v>
      </c>
      <c r="H113" s="1" t="str">
        <f>CONCATENATE(".incbin ""chr/",Table1[[#This Row],[name]],".chr""")</f>
        <v>.incbin "chr/Free6F.chr"</v>
      </c>
      <c r="I113" s="1" t="str">
        <f>CONCATENATE("chr",Table1[[#This Row],[name]],"_ID")</f>
        <v>chrFree6F_ID</v>
      </c>
      <c r="J113" s="3" t="str">
        <f>CONCATENATE(Table1[[#This Row],[asmid]]," = $",Table1[[#This Row],[bankh]])</f>
        <v>chrFree6F_ID = $6F</v>
      </c>
      <c r="K113" s="3" t="str">
        <f>Table1[[#This Row],[bankh]]</f>
        <v>6F</v>
      </c>
    </row>
    <row r="114" spans="1:11" x14ac:dyDescent="0.25">
      <c r="A114" s="1">
        <v>112</v>
      </c>
      <c r="B114" s="1" t="s">
        <v>117</v>
      </c>
      <c r="C114" s="1" t="str">
        <f>DEC2HEX(HEX2DEC("20010") + (HEX2DEC("400") * Table1[[#This Row],[bank]]))</f>
        <v>3C010</v>
      </c>
      <c r="D114" s="1"/>
      <c r="E114" s="1" t="s">
        <v>311</v>
      </c>
      <c r="F114" s="2" t="s">
        <v>193</v>
      </c>
      <c r="G114" s="1" t="str">
        <f>CONCATENATE("names.append('",Table1[[#This Row],[name]],"')")</f>
        <v>names.append('Ruckus_A')</v>
      </c>
      <c r="H114" s="1" t="str">
        <f>CONCATENATE(".incbin ""chr/",Table1[[#This Row],[name]],".chr""")</f>
        <v>.incbin "chr/Ruckus_A.chr"</v>
      </c>
      <c r="I114" s="1" t="str">
        <f>CONCATENATE("chr",Table1[[#This Row],[name]],"_ID")</f>
        <v>chrRuckus_A_ID</v>
      </c>
      <c r="J114" s="3" t="str">
        <f>CONCATENATE(Table1[[#This Row],[asmid]]," = $",Table1[[#This Row],[bankh]])</f>
        <v>chrRuckus_A_ID = $70</v>
      </c>
      <c r="K114" s="3" t="str">
        <f>Table1[[#This Row],[bankh]]</f>
        <v>70</v>
      </c>
    </row>
    <row r="115" spans="1:11" x14ac:dyDescent="0.25">
      <c r="A115" s="1">
        <v>113</v>
      </c>
      <c r="B115" s="1" t="s">
        <v>118</v>
      </c>
      <c r="C115" s="1" t="str">
        <f>DEC2HEX(HEX2DEC("20010") + (HEX2DEC("400") * Table1[[#This Row],[bank]]))</f>
        <v>3C410</v>
      </c>
      <c r="D115" s="1"/>
      <c r="E115" s="1" t="s">
        <v>312</v>
      </c>
      <c r="F115" s="2" t="s">
        <v>193</v>
      </c>
      <c r="G115" s="1" t="str">
        <f>CONCATENATE("names.append('",Table1[[#This Row],[name]],"')")</f>
        <v>names.append('Ruckus_B')</v>
      </c>
      <c r="H115" s="1" t="str">
        <f>CONCATENATE(".incbin ""chr/",Table1[[#This Row],[name]],".chr""")</f>
        <v>.incbin "chr/Ruckus_B.chr"</v>
      </c>
      <c r="I115" s="1" t="str">
        <f>CONCATENATE("chr",Table1[[#This Row],[name]],"_ID")</f>
        <v>chrRuckus_B_ID</v>
      </c>
      <c r="J115" s="3" t="str">
        <f>CONCATENATE(Table1[[#This Row],[asmid]]," = $",Table1[[#This Row],[bankh]])</f>
        <v>chrRuckus_B_ID = $71</v>
      </c>
      <c r="K115" s="3" t="str">
        <f>Table1[[#This Row],[bankh]]</f>
        <v>71</v>
      </c>
    </row>
    <row r="116" spans="1:11" x14ac:dyDescent="0.25">
      <c r="A116" s="1">
        <v>114</v>
      </c>
      <c r="B116" s="1" t="s">
        <v>119</v>
      </c>
      <c r="C116" s="1" t="str">
        <f>DEC2HEX(HEX2DEC("20010") + (HEX2DEC("400") * Table1[[#This Row],[bank]]))</f>
        <v>3C810</v>
      </c>
      <c r="D116" s="1"/>
      <c r="E116" s="1" t="s">
        <v>313</v>
      </c>
      <c r="F116" s="2" t="s">
        <v>194</v>
      </c>
      <c r="G116" s="1" t="str">
        <f>CONCATENATE("names.append('",Table1[[#This Row],[name]],"')")</f>
        <v>names.append('MadMonkey')</v>
      </c>
      <c r="H116" s="1" t="str">
        <f>CONCATENATE(".incbin ""chr/",Table1[[#This Row],[name]],".chr""")</f>
        <v>.incbin "chr/MadMonkey.chr"</v>
      </c>
      <c r="I116" s="1" t="str">
        <f>CONCATENATE("chr",Table1[[#This Row],[name]],"_ID")</f>
        <v>chrMadMonkey_ID</v>
      </c>
      <c r="J116" s="3" t="str">
        <f>CONCATENATE(Table1[[#This Row],[asmid]]," = $",Table1[[#This Row],[bankh]])</f>
        <v>chrMadMonkey_ID = $72</v>
      </c>
      <c r="K116" s="3" t="str">
        <f>Table1[[#This Row],[bankh]]</f>
        <v>72</v>
      </c>
    </row>
    <row r="117" spans="1:11" x14ac:dyDescent="0.25">
      <c r="A117" s="1">
        <v>115</v>
      </c>
      <c r="B117" s="1" t="s">
        <v>120</v>
      </c>
      <c r="C117" s="1" t="str">
        <f>DEC2HEX(HEX2DEC("20010") + (HEX2DEC("400") * Table1[[#This Row],[bank]]))</f>
        <v>3CC10</v>
      </c>
      <c r="D117" s="1"/>
      <c r="E117" s="1" t="s">
        <v>195</v>
      </c>
      <c r="F117" s="2" t="s">
        <v>195</v>
      </c>
      <c r="G117" s="1" t="str">
        <f>CONCATENATE("names.append('",Table1[[#This Row],[name]],"')")</f>
        <v>names.append('Rounder')</v>
      </c>
      <c r="H117" s="1" t="str">
        <f>CONCATENATE(".incbin ""chr/",Table1[[#This Row],[name]],".chr""")</f>
        <v>.incbin "chr/Rounder.chr"</v>
      </c>
      <c r="I117" s="1" t="str">
        <f>CONCATENATE("chr",Table1[[#This Row],[name]],"_ID")</f>
        <v>chrRounder_ID</v>
      </c>
      <c r="J117" s="3" t="str">
        <f>CONCATENATE(Table1[[#This Row],[asmid]]," = $",Table1[[#This Row],[bankh]])</f>
        <v>chrRounder_ID = $73</v>
      </c>
      <c r="K117" s="3" t="str">
        <f>Table1[[#This Row],[bankh]]</f>
        <v>73</v>
      </c>
    </row>
    <row r="118" spans="1:11" x14ac:dyDescent="0.25">
      <c r="A118" s="1">
        <v>116</v>
      </c>
      <c r="B118" s="1" t="s">
        <v>121</v>
      </c>
      <c r="C118" s="1" t="str">
        <f>DEC2HEX(HEX2DEC("20010") + (HEX2DEC("400") * Table1[[#This Row],[bank]]))</f>
        <v>3D010</v>
      </c>
      <c r="D118" s="1"/>
      <c r="E118" s="1" t="s">
        <v>314</v>
      </c>
      <c r="F118" s="2" t="s">
        <v>196</v>
      </c>
      <c r="G118" s="1" t="str">
        <f>CONCATENATE("names.append('",Table1[[#This Row],[name]],"')")</f>
        <v>names.append('Roc_A')</v>
      </c>
      <c r="H118" s="1" t="str">
        <f>CONCATENATE(".incbin ""chr/",Table1[[#This Row],[name]],".chr""")</f>
        <v>.incbin "chr/Roc_A.chr"</v>
      </c>
      <c r="I118" s="1" t="str">
        <f>CONCATENATE("chr",Table1[[#This Row],[name]],"_ID")</f>
        <v>chrRoc_A_ID</v>
      </c>
      <c r="J118" s="3" t="str">
        <f>CONCATENATE(Table1[[#This Row],[asmid]]," = $",Table1[[#This Row],[bankh]])</f>
        <v>chrRoc_A_ID = $74</v>
      </c>
      <c r="K118" s="3" t="str">
        <f>Table1[[#This Row],[bankh]]</f>
        <v>74</v>
      </c>
    </row>
    <row r="119" spans="1:11" x14ac:dyDescent="0.25">
      <c r="A119" s="1">
        <v>117</v>
      </c>
      <c r="B119" s="1" t="s">
        <v>122</v>
      </c>
      <c r="C119" s="1" t="str">
        <f>DEC2HEX(HEX2DEC("20010") + (HEX2DEC("400") * Table1[[#This Row],[bank]]))</f>
        <v>3D410</v>
      </c>
      <c r="D119" s="1"/>
      <c r="E119" s="1" t="s">
        <v>315</v>
      </c>
      <c r="F119" s="2" t="s">
        <v>197</v>
      </c>
      <c r="G119" s="1" t="str">
        <f>CONCATENATE("names.append('",Table1[[#This Row],[name]],"')")</f>
        <v>names.append('Roc_B')</v>
      </c>
      <c r="H119" s="1" t="str">
        <f>CONCATENATE(".incbin ""chr/",Table1[[#This Row],[name]],".chr""")</f>
        <v>.incbin "chr/Roc_B.chr"</v>
      </c>
      <c r="I119" s="1" t="str">
        <f>CONCATENATE("chr",Table1[[#This Row],[name]],"_ID")</f>
        <v>chrRoc_B_ID</v>
      </c>
      <c r="J119" s="3" t="str">
        <f>CONCATENATE(Table1[[#This Row],[asmid]]," = $",Table1[[#This Row],[bankh]])</f>
        <v>chrRoc_B_ID = $75</v>
      </c>
      <c r="K119" s="3" t="str">
        <f>Table1[[#This Row],[bankh]]</f>
        <v>75</v>
      </c>
    </row>
    <row r="120" spans="1:11" x14ac:dyDescent="0.25">
      <c r="A120" s="1">
        <v>118</v>
      </c>
      <c r="B120" s="1" t="s">
        <v>123</v>
      </c>
      <c r="C120" s="1" t="str">
        <f>DEC2HEX(HEX2DEC("20010") + (HEX2DEC("400") * Table1[[#This Row],[bank]]))</f>
        <v>3D810</v>
      </c>
      <c r="D120" s="1"/>
      <c r="E120" s="1" t="s">
        <v>316</v>
      </c>
      <c r="F120" s="2" t="s">
        <v>199</v>
      </c>
      <c r="G120" s="1" t="str">
        <f>CONCATENATE("names.append('",Table1[[#This Row],[name]],"')")</f>
        <v>names.append('SkullBrothers')</v>
      </c>
      <c r="H120" s="1" t="str">
        <f>CONCATENATE(".incbin ""chr/",Table1[[#This Row],[name]],".chr""")</f>
        <v>.incbin "chr/SkullBrothers.chr"</v>
      </c>
      <c r="I120" s="1" t="str">
        <f>CONCATENATE("chr",Table1[[#This Row],[name]],"_ID")</f>
        <v>chrSkullBrothers_ID</v>
      </c>
      <c r="J120" s="3" t="str">
        <f>CONCATENATE(Table1[[#This Row],[asmid]]," = $",Table1[[#This Row],[bankh]])</f>
        <v>chrSkullBrothers_ID = $76</v>
      </c>
      <c r="K120" s="3" t="str">
        <f>Table1[[#This Row],[bankh]]</f>
        <v>76</v>
      </c>
    </row>
    <row r="121" spans="1:11" x14ac:dyDescent="0.25">
      <c r="A121" s="1">
        <v>119</v>
      </c>
      <c r="B121" s="1" t="s">
        <v>124</v>
      </c>
      <c r="C121" s="1" t="str">
        <f>DEC2HEX(HEX2DEC("20010") + (HEX2DEC("400") * Table1[[#This Row],[bank]]))</f>
        <v>3DC10</v>
      </c>
      <c r="D121" s="1"/>
      <c r="E121" s="1" t="s">
        <v>317</v>
      </c>
      <c r="F121" s="2" t="s">
        <v>198</v>
      </c>
      <c r="G121" s="1" t="str">
        <f>CONCATENATE("names.append('",Table1[[#This Row],[name]],"')")</f>
        <v>names.append('SuperDrunk')</v>
      </c>
      <c r="H121" s="1" t="str">
        <f>CONCATENATE(".incbin ""chr/",Table1[[#This Row],[name]],".chr""")</f>
        <v>.incbin "chr/SuperDrunk.chr"</v>
      </c>
      <c r="I121" s="1" t="str">
        <f>CONCATENATE("chr",Table1[[#This Row],[name]],"_ID")</f>
        <v>chrSuperDrunk_ID</v>
      </c>
      <c r="J121" s="3" t="str">
        <f>CONCATENATE(Table1[[#This Row],[asmid]]," = $",Table1[[#This Row],[bankh]])</f>
        <v>chrSuperDrunk_ID = $77</v>
      </c>
      <c r="K121" s="3" t="str">
        <f>Table1[[#This Row],[bankh]]</f>
        <v>77</v>
      </c>
    </row>
    <row r="122" spans="1:11" x14ac:dyDescent="0.25">
      <c r="A122" s="1">
        <v>120</v>
      </c>
      <c r="B122" s="1" t="s">
        <v>125</v>
      </c>
      <c r="C122" s="1" t="str">
        <f>DEC2HEX(HEX2DEC("20010") + (HEX2DEC("400") * Table1[[#This Row],[bank]]))</f>
        <v>3E010</v>
      </c>
      <c r="D122" s="1"/>
      <c r="E122" s="1" t="s">
        <v>318</v>
      </c>
      <c r="F122" s="2" t="s">
        <v>200</v>
      </c>
      <c r="G122" s="1" t="str">
        <f>CONCATENATE("names.append('",Table1[[#This Row],[name]],"')")</f>
        <v>names.append('FinalSkull_A')</v>
      </c>
      <c r="H122" s="1" t="str">
        <f>CONCATENATE(".incbin ""chr/",Table1[[#This Row],[name]],".chr""")</f>
        <v>.incbin "chr/FinalSkull_A.chr"</v>
      </c>
      <c r="I122" s="1" t="str">
        <f>CONCATENATE("chr",Table1[[#This Row],[name]],"_ID")</f>
        <v>chrFinalSkull_A_ID</v>
      </c>
      <c r="J122" s="3" t="str">
        <f>CONCATENATE(Table1[[#This Row],[asmid]]," = $",Table1[[#This Row],[bankh]])</f>
        <v>chrFinalSkull_A_ID = $78</v>
      </c>
      <c r="K122" s="3" t="str">
        <f>Table1[[#This Row],[bankh]]</f>
        <v>78</v>
      </c>
    </row>
    <row r="123" spans="1:11" x14ac:dyDescent="0.25">
      <c r="A123" s="1">
        <v>121</v>
      </c>
      <c r="B123" s="1" t="s">
        <v>126</v>
      </c>
      <c r="C123" s="1" t="str">
        <f>DEC2HEX(HEX2DEC("20010") + (HEX2DEC("400") * Table1[[#This Row],[bank]]))</f>
        <v>3E410</v>
      </c>
      <c r="D123" s="1"/>
      <c r="E123" s="1" t="s">
        <v>319</v>
      </c>
      <c r="F123" s="2" t="s">
        <v>202</v>
      </c>
      <c r="G123" s="1" t="str">
        <f>CONCATENATE("names.append('",Table1[[#This Row],[name]],"')")</f>
        <v>names.append('FinalSkull_B')</v>
      </c>
      <c r="H123" s="1" t="str">
        <f>CONCATENATE(".incbin ""chr/",Table1[[#This Row],[name]],".chr""")</f>
        <v>.incbin "chr/FinalSkull_B.chr"</v>
      </c>
      <c r="I123" s="1" t="str">
        <f>CONCATENATE("chr",Table1[[#This Row],[name]],"_ID")</f>
        <v>chrFinalSkull_B_ID</v>
      </c>
      <c r="J123" s="3" t="str">
        <f>CONCATENATE(Table1[[#This Row],[asmid]]," = $",Table1[[#This Row],[bankh]])</f>
        <v>chrFinalSkull_B_ID = $79</v>
      </c>
      <c r="K123" s="3" t="str">
        <f>Table1[[#This Row],[bankh]]</f>
        <v>79</v>
      </c>
    </row>
    <row r="124" spans="1:11" x14ac:dyDescent="0.25">
      <c r="A124" s="1">
        <v>122</v>
      </c>
      <c r="B124" s="1" t="s">
        <v>127</v>
      </c>
      <c r="C124" s="1" t="str">
        <f>DEC2HEX(HEX2DEC("20010") + (HEX2DEC("400") * Table1[[#This Row],[bank]]))</f>
        <v>3E810</v>
      </c>
      <c r="D124" s="1"/>
      <c r="E124" s="1" t="s">
        <v>320</v>
      </c>
      <c r="F124" s="2" t="s">
        <v>203</v>
      </c>
      <c r="G124" s="1" t="str">
        <f>CONCATENATE("names.append('",Table1[[#This Row],[name]],"')")</f>
        <v>names.append('EndingActors_A')</v>
      </c>
      <c r="H124" s="1" t="str">
        <f>CONCATENATE(".incbin ""chr/",Table1[[#This Row],[name]],".chr""")</f>
        <v>.incbin "chr/EndingActors_A.chr"</v>
      </c>
      <c r="I124" s="1" t="str">
        <f>CONCATENATE("chr",Table1[[#This Row],[name]],"_ID")</f>
        <v>chrEndingActors_A_ID</v>
      </c>
      <c r="J124" s="3" t="str">
        <f>CONCATENATE(Table1[[#This Row],[asmid]]," = $",Table1[[#This Row],[bankh]])</f>
        <v>chrEndingActors_A_ID = $7A</v>
      </c>
      <c r="K124" s="3" t="str">
        <f>Table1[[#This Row],[bankh]]</f>
        <v>7A</v>
      </c>
    </row>
    <row r="125" spans="1:11" x14ac:dyDescent="0.25">
      <c r="A125" s="1">
        <v>123</v>
      </c>
      <c r="B125" s="1" t="s">
        <v>128</v>
      </c>
      <c r="C125" s="1" t="str">
        <f>DEC2HEX(HEX2DEC("20010") + (HEX2DEC("400") * Table1[[#This Row],[bank]]))</f>
        <v>3EC10</v>
      </c>
      <c r="D125" s="1"/>
      <c r="E125" s="1" t="s">
        <v>321</v>
      </c>
      <c r="F125" s="2" t="s">
        <v>204</v>
      </c>
      <c r="G125" s="1" t="str">
        <f>CONCATENATE("names.append('",Table1[[#This Row],[name]],"')")</f>
        <v>names.append('EndingActors_B')</v>
      </c>
      <c r="H125" s="1" t="str">
        <f>CONCATENATE(".incbin ""chr/",Table1[[#This Row],[name]],".chr""")</f>
        <v>.incbin "chr/EndingActors_B.chr"</v>
      </c>
      <c r="I125" s="1" t="str">
        <f>CONCATENATE("chr",Table1[[#This Row],[name]],"_ID")</f>
        <v>chrEndingActors_B_ID</v>
      </c>
      <c r="J125" s="3" t="str">
        <f>CONCATENATE(Table1[[#This Row],[asmid]]," = $",Table1[[#This Row],[bankh]])</f>
        <v>chrEndingActors_B_ID = $7B</v>
      </c>
      <c r="K125" s="3" t="str">
        <f>Table1[[#This Row],[bankh]]</f>
        <v>7B</v>
      </c>
    </row>
    <row r="126" spans="1:11" x14ac:dyDescent="0.25">
      <c r="A126" s="1">
        <v>124</v>
      </c>
      <c r="B126" s="1" t="s">
        <v>129</v>
      </c>
      <c r="C126" s="1" t="str">
        <f>DEC2HEX(HEX2DEC("20010") + (HEX2DEC("400") * Table1[[#This Row],[bank]]))</f>
        <v>3F010</v>
      </c>
      <c r="D126" s="1" t="s">
        <v>331</v>
      </c>
      <c r="E126" s="1" t="s">
        <v>322</v>
      </c>
      <c r="F126" s="2" t="s">
        <v>133</v>
      </c>
      <c r="G126" s="1" t="str">
        <f>CONCATENATE("names.append('",Table1[[#This Row],[name]],"')")</f>
        <v>names.append('TitleScreen_A')</v>
      </c>
      <c r="H126" s="1" t="str">
        <f>CONCATENATE(".incbin ""chr/",Table1[[#This Row],[name]],".chr""")</f>
        <v>.incbin "chr/TitleScreen_A.chr"</v>
      </c>
      <c r="I126" s="1" t="str">
        <f>CONCATENATE("chr",Table1[[#This Row],[name]],"_ID")</f>
        <v>chrTitleScreen_A_ID</v>
      </c>
      <c r="J126" s="3" t="str">
        <f>CONCATENATE(Table1[[#This Row],[asmid]]," = $",Table1[[#This Row],[bankh]])</f>
        <v>chrTitleScreen_A_ID = $7C</v>
      </c>
      <c r="K126" s="3" t="str">
        <f>Table1[[#This Row],[bankh]]</f>
        <v>7C</v>
      </c>
    </row>
    <row r="127" spans="1:11" x14ac:dyDescent="0.25">
      <c r="A127" s="1">
        <v>125</v>
      </c>
      <c r="B127" s="1" t="s">
        <v>130</v>
      </c>
      <c r="C127" s="1" t="str">
        <f>DEC2HEX(HEX2DEC("20010") + (HEX2DEC("400") * Table1[[#This Row],[bank]]))</f>
        <v>3F410</v>
      </c>
      <c r="D127" s="1" t="s">
        <v>331</v>
      </c>
      <c r="E127" s="1" t="s">
        <v>323</v>
      </c>
      <c r="F127" s="2" t="s">
        <v>133</v>
      </c>
      <c r="G127" s="1" t="str">
        <f>CONCATENATE("names.append('",Table1[[#This Row],[name]],"')")</f>
        <v>names.append('TitleScreen_B')</v>
      </c>
      <c r="H127" s="1" t="str">
        <f>CONCATENATE(".incbin ""chr/",Table1[[#This Row],[name]],".chr""")</f>
        <v>.incbin "chr/TitleScreen_B.chr"</v>
      </c>
      <c r="I127" s="1" t="str">
        <f>CONCATENATE("chr",Table1[[#This Row],[name]],"_ID")</f>
        <v>chrTitleScreen_B_ID</v>
      </c>
      <c r="J127" s="3" t="str">
        <f>CONCATENATE(Table1[[#This Row],[asmid]]," = $",Table1[[#This Row],[bankh]])</f>
        <v>chrTitleScreen_B_ID = $7D</v>
      </c>
      <c r="K127" s="3" t="str">
        <f>Table1[[#This Row],[bankh]]</f>
        <v>7D</v>
      </c>
    </row>
    <row r="128" spans="1:11" x14ac:dyDescent="0.25">
      <c r="A128" s="1">
        <v>126</v>
      </c>
      <c r="B128" s="1" t="s">
        <v>131</v>
      </c>
      <c r="C128" s="1" t="str">
        <f>DEC2HEX(HEX2DEC("20010") + (HEX2DEC("400") * Table1[[#This Row],[bank]]))</f>
        <v>3F810</v>
      </c>
      <c r="D128" s="1" t="s">
        <v>331</v>
      </c>
      <c r="E128" s="1" t="s">
        <v>324</v>
      </c>
      <c r="F128" s="2" t="s">
        <v>133</v>
      </c>
      <c r="G128" s="1" t="str">
        <f>CONCATENATE("names.append('",Table1[[#This Row],[name]],"')")</f>
        <v>names.append('TitleScreen_C')</v>
      </c>
      <c r="H128" s="1" t="str">
        <f>CONCATENATE(".incbin ""chr/",Table1[[#This Row],[name]],".chr""")</f>
        <v>.incbin "chr/TitleScreen_C.chr"</v>
      </c>
      <c r="I128" s="1" t="str">
        <f>CONCATENATE("chr",Table1[[#This Row],[name]],"_ID")</f>
        <v>chrTitleScreen_C_ID</v>
      </c>
      <c r="J128" s="3" t="str">
        <f>CONCATENATE(Table1[[#This Row],[asmid]]," = $",Table1[[#This Row],[bankh]])</f>
        <v>chrTitleScreen_C_ID = $7E</v>
      </c>
      <c r="K128" s="3" t="str">
        <f>Table1[[#This Row],[bankh]]</f>
        <v>7E</v>
      </c>
    </row>
    <row r="129" spans="1:11" x14ac:dyDescent="0.25">
      <c r="A129" s="1">
        <v>127</v>
      </c>
      <c r="B129" s="1" t="s">
        <v>132</v>
      </c>
      <c r="C129" s="1" t="str">
        <f>DEC2HEX(HEX2DEC("20010") + (HEX2DEC("400") * Table1[[#This Row],[bank]]))</f>
        <v>3FC10</v>
      </c>
      <c r="D129" s="1" t="s">
        <v>331</v>
      </c>
      <c r="E129" s="1" t="s">
        <v>325</v>
      </c>
      <c r="F129" s="2" t="s">
        <v>133</v>
      </c>
      <c r="G129" s="1" t="str">
        <f>CONCATENATE("names.append('",Table1[[#This Row],[name]],"')")</f>
        <v>names.append('TitleScreen_D')</v>
      </c>
      <c r="H129" s="1" t="str">
        <f>CONCATENATE(".incbin ""chr/",Table1[[#This Row],[name]],".chr""")</f>
        <v>.incbin "chr/TitleScreen_D.chr"</v>
      </c>
      <c r="I129" s="1" t="str">
        <f>CONCATENATE("chr",Table1[[#This Row],[name]],"_ID")</f>
        <v>chrTitleScreen_D_ID</v>
      </c>
      <c r="J129" s="3" t="str">
        <f>CONCATENATE(Table1[[#This Row],[asmid]]," = $",Table1[[#This Row],[bankh]])</f>
        <v>chrTitleScreen_D_ID = $7F</v>
      </c>
      <c r="K129" s="3" t="str">
        <f>Table1[[#This Row],[bankh]]</f>
        <v>7F</v>
      </c>
    </row>
    <row r="130" spans="1:11" x14ac:dyDescent="0.25">
      <c r="G130" s="2"/>
    </row>
    <row r="131" spans="1:11" x14ac:dyDescent="0.25">
      <c r="G131" s="2"/>
    </row>
    <row r="132" spans="1:11" x14ac:dyDescent="0.25">
      <c r="G132" s="2"/>
    </row>
    <row r="133" spans="1:11" x14ac:dyDescent="0.25">
      <c r="G133" s="2"/>
    </row>
    <row r="134" spans="1:11" x14ac:dyDescent="0.25">
      <c r="G134" s="2"/>
    </row>
    <row r="135" spans="1:11" x14ac:dyDescent="0.25">
      <c r="G135" s="2"/>
    </row>
    <row r="136" spans="1:11" x14ac:dyDescent="0.25">
      <c r="G136" s="2"/>
    </row>
    <row r="137" spans="1:11" x14ac:dyDescent="0.25">
      <c r="G137" s="2"/>
    </row>
    <row r="138" spans="1:11" x14ac:dyDescent="0.25">
      <c r="G138" s="2"/>
    </row>
    <row r="139" spans="1:11" x14ac:dyDescent="0.25">
      <c r="G139" s="2"/>
    </row>
    <row r="140" spans="1:11" x14ac:dyDescent="0.25">
      <c r="G140" s="2"/>
    </row>
    <row r="141" spans="1:11" x14ac:dyDescent="0.25">
      <c r="G141" s="2"/>
    </row>
    <row r="142" spans="1:11" x14ac:dyDescent="0.25">
      <c r="G142" s="2"/>
    </row>
    <row r="143" spans="1:11" x14ac:dyDescent="0.25">
      <c r="G143" s="2"/>
    </row>
    <row r="144" spans="1:11" x14ac:dyDescent="0.25">
      <c r="G144" s="2"/>
    </row>
    <row r="145" spans="7:7" x14ac:dyDescent="0.25">
      <c r="G145" s="2"/>
    </row>
    <row r="146" spans="7:7" x14ac:dyDescent="0.25">
      <c r="G146" s="2"/>
    </row>
    <row r="147" spans="7:7" x14ac:dyDescent="0.25">
      <c r="G147" s="2"/>
    </row>
    <row r="148" spans="7:7" x14ac:dyDescent="0.25">
      <c r="G148" s="2"/>
    </row>
    <row r="149" spans="7:7" x14ac:dyDescent="0.25">
      <c r="G149" s="2"/>
    </row>
    <row r="150" spans="7:7" x14ac:dyDescent="0.25">
      <c r="G150" s="2"/>
    </row>
    <row r="151" spans="7:7" x14ac:dyDescent="0.25">
      <c r="G151" s="2"/>
    </row>
    <row r="152" spans="7:7" x14ac:dyDescent="0.25">
      <c r="G152" s="2"/>
    </row>
    <row r="153" spans="7:7" x14ac:dyDescent="0.25">
      <c r="G153" s="2"/>
    </row>
    <row r="154" spans="7:7" x14ac:dyDescent="0.25">
      <c r="G15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Marcus</cp:lastModifiedBy>
  <dcterms:created xsi:type="dcterms:W3CDTF">2026-02-08T22:59:28Z</dcterms:created>
  <dcterms:modified xsi:type="dcterms:W3CDTF">2026-02-10T18:13:35Z</dcterms:modified>
</cp:coreProperties>
</file>